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esen\Downloads\portifolio\"/>
    </mc:Choice>
  </mc:AlternateContent>
  <xr:revisionPtr revIDLastSave="0" documentId="13_ncr:1_{38BED87E-AB9A-4B67-AEE9-0378BFE5C5A6}" xr6:coauthVersionLast="47" xr6:coauthVersionMax="47" xr10:uidLastSave="{00000000-0000-0000-0000-000000000000}"/>
  <bookViews>
    <workbookView xWindow="-110" yWindow="-110" windowWidth="19420" windowHeight="11500" firstSheet="8" activeTab="10" xr2:uid="{3FE7F159-9384-434B-A663-BD42350203E5}"/>
  </bookViews>
  <sheets>
    <sheet name="Aplicação de Eq. diferencial" sheetId="1" r:id="rId1"/>
    <sheet name="interpolação linear" sheetId="2" r:id="rId2"/>
    <sheet name="Interpolação quadrática" sheetId="3" r:id="rId3"/>
    <sheet name="Matriz Met. Gauss" sheetId="4" r:id="rId4"/>
    <sheet name="EDDP Parabólica" sheetId="5" r:id="rId5"/>
    <sheet name="EDO - Runge-Kutta" sheetId="6" r:id="rId6"/>
    <sheet name="EDO Ordem Superior" sheetId="7" r:id="rId7"/>
    <sheet name="EDO - Euler" sheetId="8" r:id="rId8"/>
    <sheet name="Método de Gauss" sheetId="9" r:id="rId9"/>
    <sheet name="Aproximação de funções" sheetId="10" r:id="rId10"/>
    <sheet name="ajuste de curva - aproximação" sheetId="11" r:id="rId11"/>
  </sheets>
  <externalReferences>
    <externalReference r:id="rId12"/>
    <externalReference r:id="rId13"/>
    <externalReference r:id="rId1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0" i="11" l="1"/>
  <c r="Q12" i="11"/>
  <c r="G12" i="11"/>
  <c r="C10" i="11"/>
  <c r="B10" i="11"/>
  <c r="E9" i="11"/>
  <c r="D9" i="11"/>
  <c r="E8" i="11"/>
  <c r="D8" i="11"/>
  <c r="I7" i="11"/>
  <c r="J12" i="11" s="1"/>
  <c r="I19" i="11" s="1"/>
  <c r="H7" i="11"/>
  <c r="E7" i="11"/>
  <c r="D7" i="11"/>
  <c r="S6" i="11"/>
  <c r="U12" i="11" s="1"/>
  <c r="R6" i="11"/>
  <c r="M6" i="11"/>
  <c r="L6" i="11"/>
  <c r="K6" i="11"/>
  <c r="J6" i="11"/>
  <c r="E6" i="11"/>
  <c r="D6" i="11"/>
  <c r="U5" i="11"/>
  <c r="T5" i="11"/>
  <c r="M5" i="11"/>
  <c r="L5" i="11"/>
  <c r="K5" i="11"/>
  <c r="J5" i="11"/>
  <c r="E5" i="11"/>
  <c r="D5" i="11"/>
  <c r="U4" i="11"/>
  <c r="T4" i="11"/>
  <c r="M4" i="11"/>
  <c r="L4" i="11"/>
  <c r="K4" i="11"/>
  <c r="J4" i="11"/>
  <c r="E4" i="11"/>
  <c r="D4" i="11"/>
  <c r="U3" i="11"/>
  <c r="U6" i="11" s="1"/>
  <c r="U13" i="11" s="1"/>
  <c r="T3" i="11"/>
  <c r="M3" i="11"/>
  <c r="L3" i="11"/>
  <c r="K3" i="11"/>
  <c r="J3" i="11"/>
  <c r="E3" i="11"/>
  <c r="D3" i="11"/>
  <c r="U2" i="11"/>
  <c r="T2" i="11"/>
  <c r="O2" i="11"/>
  <c r="M2" i="11"/>
  <c r="M7" i="11" s="1"/>
  <c r="L2" i="11"/>
  <c r="L7" i="11" s="1"/>
  <c r="K2" i="11"/>
  <c r="K7" i="11" s="1"/>
  <c r="J13" i="11" s="1"/>
  <c r="I20" i="11" s="1"/>
  <c r="J2" i="11"/>
  <c r="J7" i="11" s="1"/>
  <c r="H13" i="11" s="1"/>
  <c r="H20" i="11" s="1"/>
  <c r="E2" i="11"/>
  <c r="E10" i="11" s="1"/>
  <c r="D2" i="11"/>
  <c r="D10" i="11" s="1"/>
  <c r="D16" i="10"/>
  <c r="J14" i="10"/>
  <c r="H14" i="10"/>
  <c r="G16" i="10" s="1"/>
  <c r="F14" i="10"/>
  <c r="E14" i="10"/>
  <c r="N13" i="10"/>
  <c r="H13" i="10"/>
  <c r="E13" i="10"/>
  <c r="N12" i="10"/>
  <c r="H12" i="10"/>
  <c r="E12" i="10"/>
  <c r="N11" i="10"/>
  <c r="H11" i="10"/>
  <c r="E11" i="10"/>
  <c r="N10" i="10"/>
  <c r="L10" i="10"/>
  <c r="M10" i="10" s="1"/>
  <c r="H10" i="10"/>
  <c r="G10" i="10"/>
  <c r="E10" i="10"/>
  <c r="H9" i="10"/>
  <c r="E9" i="10"/>
  <c r="H8" i="10"/>
  <c r="E8" i="10"/>
  <c r="H7" i="10"/>
  <c r="E7" i="10"/>
  <c r="H6" i="10"/>
  <c r="E6" i="10"/>
  <c r="H5" i="10"/>
  <c r="E5" i="10"/>
  <c r="H4" i="10"/>
  <c r="E4" i="10"/>
  <c r="H3" i="10"/>
  <c r="E3" i="10"/>
  <c r="P2" i="10"/>
  <c r="H2" i="10"/>
  <c r="E2" i="10"/>
  <c r="E3" i="9"/>
  <c r="B3" i="9"/>
  <c r="C3" i="9" s="1"/>
  <c r="G26" i="8"/>
  <c r="G25" i="8"/>
  <c r="G24" i="8"/>
  <c r="G23" i="8"/>
  <c r="G22" i="8"/>
  <c r="G21" i="8"/>
  <c r="G20" i="8"/>
  <c r="G19" i="8"/>
  <c r="G18" i="8"/>
  <c r="G17" i="8"/>
  <c r="G16" i="8"/>
  <c r="H16" i="8" s="1"/>
  <c r="F16" i="8"/>
  <c r="E17" i="8" s="1"/>
  <c r="F2" i="8"/>
  <c r="E3" i="8" s="1"/>
  <c r="K2" i="7"/>
  <c r="L2" i="7" s="1"/>
  <c r="G2" i="7"/>
  <c r="F2" i="7"/>
  <c r="J26" i="6"/>
  <c r="J25" i="6"/>
  <c r="J24" i="6"/>
  <c r="J23" i="6"/>
  <c r="J22" i="6"/>
  <c r="J21" i="6"/>
  <c r="J20" i="6"/>
  <c r="J19" i="6"/>
  <c r="J18" i="6"/>
  <c r="J17" i="6"/>
  <c r="J16" i="6"/>
  <c r="K16" i="6" s="1"/>
  <c r="F16" i="6"/>
  <c r="F2" i="6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O11" i="5"/>
  <c r="N11" i="5"/>
  <c r="M11" i="5"/>
  <c r="N12" i="5" s="1"/>
  <c r="L11" i="5"/>
  <c r="M12" i="5" s="1"/>
  <c r="K11" i="5"/>
  <c r="L12" i="5" s="1"/>
  <c r="M13" i="5" s="1"/>
  <c r="J11" i="5"/>
  <c r="K12" i="5" s="1"/>
  <c r="L13" i="5" s="1"/>
  <c r="I11" i="5"/>
  <c r="J12" i="5" s="1"/>
  <c r="K13" i="5" s="1"/>
  <c r="L14" i="5" s="1"/>
  <c r="H11" i="5"/>
  <c r="I12" i="5" s="1"/>
  <c r="G11" i="5"/>
  <c r="F11" i="5"/>
  <c r="G12" i="5" s="1"/>
  <c r="H13" i="5" s="1"/>
  <c r="A11" i="5"/>
  <c r="L3" i="5"/>
  <c r="K3" i="5"/>
  <c r="L4" i="5" s="1"/>
  <c r="J3" i="5"/>
  <c r="K4" i="5" s="1"/>
  <c r="L5" i="5" s="1"/>
  <c r="I3" i="5"/>
  <c r="J4" i="5" s="1"/>
  <c r="K5" i="5" s="1"/>
  <c r="L6" i="5" s="1"/>
  <c r="H3" i="5"/>
  <c r="I4" i="5" s="1"/>
  <c r="J5" i="5" s="1"/>
  <c r="K6" i="5" s="1"/>
  <c r="L7" i="5" s="1"/>
  <c r="G3" i="5"/>
  <c r="F3" i="5"/>
  <c r="G4" i="5" s="1"/>
  <c r="F8" i="4"/>
  <c r="F13" i="4" s="1"/>
  <c r="F18" i="4" s="1"/>
  <c r="E8" i="4"/>
  <c r="E13" i="4" s="1"/>
  <c r="E18" i="4" s="1"/>
  <c r="D8" i="4"/>
  <c r="D13" i="4" s="1"/>
  <c r="D18" i="4" s="1"/>
  <c r="C8" i="4"/>
  <c r="C13" i="4" s="1"/>
  <c r="C18" i="4" s="1"/>
  <c r="B8" i="4"/>
  <c r="B13" i="4" s="1"/>
  <c r="B18" i="4" s="1"/>
  <c r="I5" i="4"/>
  <c r="L4" i="4" a="1"/>
  <c r="I4" i="4"/>
  <c r="I3" i="4"/>
  <c r="D28" i="3"/>
  <c r="D27" i="3"/>
  <c r="D26" i="3"/>
  <c r="F26" i="3" s="1" a="1"/>
  <c r="H18" i="3"/>
  <c r="C12" i="3"/>
  <c r="B12" i="3"/>
  <c r="A12" i="3"/>
  <c r="H18" i="2"/>
  <c r="C12" i="2"/>
  <c r="H19" i="2" s="1"/>
  <c r="H20" i="2" s="1"/>
  <c r="C16" i="2" s="1"/>
  <c r="B12" i="2"/>
  <c r="A12" i="2"/>
  <c r="G19" i="11" l="1"/>
  <c r="M12" i="11" a="1"/>
  <c r="I22" i="11"/>
  <c r="G13" i="11"/>
  <c r="G20" i="11" s="1"/>
  <c r="L19" i="11" s="1"/>
  <c r="I23" i="11" s="1"/>
  <c r="H12" i="11"/>
  <c r="H19" i="11" s="1"/>
  <c r="Q13" i="11"/>
  <c r="R12" i="11"/>
  <c r="X5" i="11"/>
  <c r="V5" i="11"/>
  <c r="W5" i="11" s="1"/>
  <c r="V4" i="11"/>
  <c r="W4" i="11" s="1"/>
  <c r="X4" i="11"/>
  <c r="X3" i="11"/>
  <c r="V3" i="11"/>
  <c r="W3" i="11" s="1"/>
  <c r="T6" i="11"/>
  <c r="X2" i="11"/>
  <c r="X6" i="11" s="1"/>
  <c r="U14" i="11" s="1"/>
  <c r="V2" i="11"/>
  <c r="N8" i="11"/>
  <c r="L13" i="10"/>
  <c r="M13" i="10" s="1"/>
  <c r="G13" i="10"/>
  <c r="G12" i="10"/>
  <c r="L12" i="10"/>
  <c r="M12" i="10" s="1"/>
  <c r="G11" i="10"/>
  <c r="L11" i="10"/>
  <c r="M11" i="10" s="1"/>
  <c r="I10" i="10"/>
  <c r="K10" i="10"/>
  <c r="L9" i="10"/>
  <c r="M9" i="10" s="1"/>
  <c r="G9" i="10"/>
  <c r="L8" i="10"/>
  <c r="M8" i="10" s="1"/>
  <c r="G8" i="10"/>
  <c r="L7" i="10"/>
  <c r="M7" i="10" s="1"/>
  <c r="G7" i="10"/>
  <c r="G6" i="10"/>
  <c r="L6" i="10"/>
  <c r="M6" i="10" s="1"/>
  <c r="G5" i="10"/>
  <c r="L5" i="10"/>
  <c r="M5" i="10" s="1"/>
  <c r="G4" i="10"/>
  <c r="L4" i="10"/>
  <c r="M4" i="10" s="1"/>
  <c r="L3" i="10"/>
  <c r="M3" i="10" s="1"/>
  <c r="G3" i="10"/>
  <c r="N9" i="10"/>
  <c r="N8" i="10"/>
  <c r="N7" i="10"/>
  <c r="N2" i="10"/>
  <c r="N14" i="10" s="1"/>
  <c r="P3" i="10" s="1"/>
  <c r="N3" i="10"/>
  <c r="N5" i="10"/>
  <c r="N6" i="10"/>
  <c r="N4" i="10"/>
  <c r="L2" i="10"/>
  <c r="G2" i="10"/>
  <c r="D3" i="9"/>
  <c r="G3" i="9" s="1"/>
  <c r="F3" i="9"/>
  <c r="B4" i="9"/>
  <c r="F17" i="8"/>
  <c r="E18" i="8"/>
  <c r="F3" i="8"/>
  <c r="E4" i="8"/>
  <c r="H17" i="8"/>
  <c r="M2" i="7"/>
  <c r="H2" i="7"/>
  <c r="G16" i="6"/>
  <c r="G2" i="6"/>
  <c r="E3" i="6" s="1"/>
  <c r="O97" i="5"/>
  <c r="O93" i="5"/>
  <c r="O92" i="5"/>
  <c r="O89" i="5"/>
  <c r="O84" i="5"/>
  <c r="O82" i="5"/>
  <c r="O78" i="5"/>
  <c r="O66" i="5"/>
  <c r="O57" i="5"/>
  <c r="O21" i="5"/>
  <c r="O209" i="5"/>
  <c r="O101" i="5"/>
  <c r="O95" i="5"/>
  <c r="O94" i="5"/>
  <c r="O233" i="5"/>
  <c r="O232" i="5"/>
  <c r="O90" i="5"/>
  <c r="O87" i="5"/>
  <c r="O86" i="5"/>
  <c r="O85" i="5"/>
  <c r="O231" i="5"/>
  <c r="O83" i="5"/>
  <c r="O230" i="5"/>
  <c r="O229" i="5"/>
  <c r="O228" i="5"/>
  <c r="O227" i="5"/>
  <c r="O75" i="5"/>
  <c r="O226" i="5"/>
  <c r="O74" i="5"/>
  <c r="O225" i="5"/>
  <c r="O72" i="5"/>
  <c r="O224" i="5"/>
  <c r="O223" i="5"/>
  <c r="O222" i="5"/>
  <c r="O63" i="5"/>
  <c r="O62" i="5"/>
  <c r="O60" i="5"/>
  <c r="O221" i="5"/>
  <c r="O58" i="5"/>
  <c r="O56" i="5"/>
  <c r="O214" i="5"/>
  <c r="O55" i="5"/>
  <c r="O212" i="5"/>
  <c r="O49" i="5"/>
  <c r="O210" i="5"/>
  <c r="O207" i="5"/>
  <c r="O206" i="5"/>
  <c r="O205" i="5"/>
  <c r="O204" i="5"/>
  <c r="O203" i="5"/>
  <c r="O194" i="5"/>
  <c r="O202" i="5"/>
  <c r="O193" i="5"/>
  <c r="O201" i="5"/>
  <c r="O192" i="5"/>
  <c r="O16" i="5"/>
  <c r="O191" i="5"/>
  <c r="O200" i="5"/>
  <c r="O190" i="5"/>
  <c r="O199" i="5"/>
  <c r="O189" i="5"/>
  <c r="O195" i="5"/>
  <c r="O188" i="5"/>
  <c r="O181" i="5"/>
  <c r="O187" i="5"/>
  <c r="O234" i="5"/>
  <c r="O186" i="5"/>
  <c r="O172" i="5"/>
  <c r="O185" i="5"/>
  <c r="O169" i="5"/>
  <c r="O184" i="5"/>
  <c r="O156" i="5"/>
  <c r="O183" i="5"/>
  <c r="O182" i="5"/>
  <c r="O152" i="5"/>
  <c r="O179" i="5"/>
  <c r="O142" i="5"/>
  <c r="O178" i="5"/>
  <c r="O141" i="5"/>
  <c r="O177" i="5"/>
  <c r="O175" i="5"/>
  <c r="O140" i="5"/>
  <c r="O174" i="5"/>
  <c r="O136" i="5"/>
  <c r="O134" i="5"/>
  <c r="O171" i="5"/>
  <c r="O170" i="5"/>
  <c r="O133" i="5"/>
  <c r="O155" i="5"/>
  <c r="O151" i="5"/>
  <c r="O150" i="5"/>
  <c r="O147" i="5"/>
  <c r="O132" i="5"/>
  <c r="O146" i="5"/>
  <c r="O145" i="5"/>
  <c r="O131" i="5"/>
  <c r="O144" i="5"/>
  <c r="O143" i="5"/>
  <c r="O120" i="5"/>
  <c r="O116" i="5"/>
  <c r="O139" i="5"/>
  <c r="O111" i="5"/>
  <c r="O138" i="5"/>
  <c r="O109" i="5"/>
  <c r="O137" i="5"/>
  <c r="O135" i="5"/>
  <c r="O105" i="5"/>
  <c r="O104" i="5"/>
  <c r="O103" i="5"/>
  <c r="O102" i="5"/>
  <c r="O128" i="5"/>
  <c r="O126" i="5"/>
  <c r="O99" i="5"/>
  <c r="O125" i="5"/>
  <c r="O124" i="5"/>
  <c r="O123" i="5"/>
  <c r="O119" i="5"/>
  <c r="O118" i="5"/>
  <c r="O115" i="5"/>
  <c r="O98" i="5"/>
  <c r="O96" i="5"/>
  <c r="O112" i="5"/>
  <c r="O91" i="5"/>
  <c r="O88" i="5"/>
  <c r="O110" i="5"/>
  <c r="O70" i="5"/>
  <c r="O176" i="5"/>
  <c r="O81" i="5"/>
  <c r="O67" i="5"/>
  <c r="O65" i="5"/>
  <c r="O80" i="5"/>
  <c r="O79" i="5"/>
  <c r="O59" i="5"/>
  <c r="O77" i="5"/>
  <c r="O76" i="5"/>
  <c r="O27" i="5"/>
  <c r="O73" i="5"/>
  <c r="O71" i="5"/>
  <c r="O24" i="5"/>
  <c r="O22" i="5"/>
  <c r="O69" i="5"/>
  <c r="O19" i="5"/>
  <c r="O17" i="5"/>
  <c r="O15" i="5"/>
  <c r="O68" i="5"/>
  <c r="O14" i="5"/>
  <c r="O12" i="5"/>
  <c r="N13" i="5" s="1"/>
  <c r="M14" i="5" s="1"/>
  <c r="N15" i="5" s="1"/>
  <c r="O64" i="5"/>
  <c r="O167" i="5"/>
  <c r="O61" i="5"/>
  <c r="O166" i="5"/>
  <c r="O54" i="5"/>
  <c r="O165" i="5"/>
  <c r="O50" i="5"/>
  <c r="O164" i="5"/>
  <c r="O26" i="5"/>
  <c r="O163" i="5"/>
  <c r="O23" i="5"/>
  <c r="O162" i="5"/>
  <c r="O20" i="5"/>
  <c r="O161" i="5"/>
  <c r="O18" i="5"/>
  <c r="O160" i="5"/>
  <c r="O13" i="5"/>
  <c r="N14" i="5" s="1"/>
  <c r="M15" i="5" s="1"/>
  <c r="N16" i="5" s="1"/>
  <c r="O159" i="5"/>
  <c r="O220" i="5"/>
  <c r="O158" i="5"/>
  <c r="O219" i="5"/>
  <c r="O157" i="5"/>
  <c r="O218" i="5"/>
  <c r="O217" i="5"/>
  <c r="O216" i="5"/>
  <c r="O130" i="5"/>
  <c r="O129" i="5"/>
  <c r="O114" i="5"/>
  <c r="O215" i="5"/>
  <c r="O53" i="5"/>
  <c r="O52" i="5"/>
  <c r="O51" i="5"/>
  <c r="O213" i="5"/>
  <c r="O211" i="5"/>
  <c r="O208" i="5"/>
  <c r="O48" i="5"/>
  <c r="O198" i="5"/>
  <c r="O47" i="5"/>
  <c r="O197" i="5"/>
  <c r="O46" i="5"/>
  <c r="O196" i="5"/>
  <c r="O45" i="5"/>
  <c r="O180" i="5"/>
  <c r="O44" i="5"/>
  <c r="O173" i="5"/>
  <c r="O43" i="5"/>
  <c r="O168" i="5"/>
  <c r="O42" i="5"/>
  <c r="O154" i="5"/>
  <c r="O41" i="5"/>
  <c r="O153" i="5"/>
  <c r="O40" i="5"/>
  <c r="O149" i="5"/>
  <c r="O39" i="5"/>
  <c r="O148" i="5"/>
  <c r="O38" i="5"/>
  <c r="O127" i="5"/>
  <c r="O37" i="5"/>
  <c r="O122" i="5"/>
  <c r="O36" i="5"/>
  <c r="O121" i="5"/>
  <c r="O35" i="5"/>
  <c r="O117" i="5"/>
  <c r="O34" i="5"/>
  <c r="O113" i="5"/>
  <c r="O33" i="5"/>
  <c r="O108" i="5"/>
  <c r="O32" i="5"/>
  <c r="O107" i="5"/>
  <c r="O31" i="5"/>
  <c r="O106" i="5"/>
  <c r="O30" i="5"/>
  <c r="O100" i="5"/>
  <c r="O29" i="5"/>
  <c r="O28" i="5"/>
  <c r="O25" i="5"/>
  <c r="F12" i="5"/>
  <c r="H12" i="5"/>
  <c r="I13" i="5" s="1"/>
  <c r="J14" i="5" s="1"/>
  <c r="K15" i="5" s="1"/>
  <c r="F4" i="5"/>
  <c r="H4" i="5"/>
  <c r="I5" i="5" s="1"/>
  <c r="J6" i="5" s="1"/>
  <c r="K7" i="5" s="1"/>
  <c r="F5" i="5"/>
  <c r="H5" i="5"/>
  <c r="I6" i="5" s="1"/>
  <c r="J7" i="5" s="1"/>
  <c r="J13" i="5"/>
  <c r="F13" i="5"/>
  <c r="G14" i="5" s="1"/>
  <c r="F11" i="4"/>
  <c r="E11" i="4"/>
  <c r="D11" i="4"/>
  <c r="C11" i="4"/>
  <c r="I9" i="4" s="1"/>
  <c r="B11" i="4"/>
  <c r="L4" i="4"/>
  <c r="L10" i="4" s="1" a="1"/>
  <c r="L10" i="4" s="1"/>
  <c r="F10" i="4"/>
  <c r="E10" i="4"/>
  <c r="D10" i="4"/>
  <c r="C10" i="4"/>
  <c r="B10" i="4"/>
  <c r="F9" i="4"/>
  <c r="F14" i="4" s="1"/>
  <c r="F19" i="4" s="1"/>
  <c r="E9" i="4"/>
  <c r="E14" i="4" s="1"/>
  <c r="E19" i="4" s="1"/>
  <c r="D9" i="4"/>
  <c r="D14" i="4" s="1"/>
  <c r="D19" i="4" s="1"/>
  <c r="C9" i="4"/>
  <c r="C14" i="4" s="1"/>
  <c r="C19" i="4" s="1"/>
  <c r="B9" i="4"/>
  <c r="B14" i="4" s="1"/>
  <c r="B19" i="4" s="1"/>
  <c r="H19" i="3"/>
  <c r="H20" i="3" s="1"/>
  <c r="C16" i="3" s="1"/>
  <c r="F26" i="3"/>
  <c r="F30" i="3" a="1"/>
  <c r="F30" i="3" s="1"/>
  <c r="C32" i="3" s="1"/>
  <c r="G22" i="11" l="1"/>
  <c r="G23" i="11"/>
  <c r="M12" i="11"/>
  <c r="M15" i="11" a="1"/>
  <c r="M15" i="11" s="1"/>
  <c r="H22" i="11"/>
  <c r="H23" i="11"/>
  <c r="L22" i="11" s="1"/>
  <c r="S12" i="11"/>
  <c r="R13" i="11"/>
  <c r="Q14" i="11"/>
  <c r="W2" i="11"/>
  <c r="W6" i="11" s="1"/>
  <c r="S14" i="11" s="1"/>
  <c r="V6" i="11"/>
  <c r="I13" i="10"/>
  <c r="K13" i="10"/>
  <c r="I12" i="10"/>
  <c r="K12" i="10"/>
  <c r="I11" i="10"/>
  <c r="K11" i="10"/>
  <c r="I9" i="10"/>
  <c r="K9" i="10"/>
  <c r="I8" i="10"/>
  <c r="K8" i="10"/>
  <c r="I7" i="10"/>
  <c r="K7" i="10"/>
  <c r="I6" i="10"/>
  <c r="K6" i="10"/>
  <c r="I5" i="10"/>
  <c r="K5" i="10"/>
  <c r="I4" i="10"/>
  <c r="K4" i="10"/>
  <c r="I3" i="10"/>
  <c r="K3" i="10"/>
  <c r="M2" i="10"/>
  <c r="M14" i="10" s="1"/>
  <c r="P4" i="10" s="1"/>
  <c r="P5" i="10" s="1"/>
  <c r="L14" i="10"/>
  <c r="I2" i="10"/>
  <c r="K2" i="10"/>
  <c r="G14" i="10"/>
  <c r="C4" i="9"/>
  <c r="E4" i="9"/>
  <c r="H3" i="9"/>
  <c r="H18" i="8"/>
  <c r="F18" i="8"/>
  <c r="E19" i="8"/>
  <c r="F4" i="8"/>
  <c r="E5" i="8"/>
  <c r="N2" i="7"/>
  <c r="J3" i="7" s="1"/>
  <c r="I2" i="7"/>
  <c r="E3" i="7" s="1"/>
  <c r="K3" i="7" s="1"/>
  <c r="F3" i="7"/>
  <c r="F3" i="6"/>
  <c r="G3" i="6"/>
  <c r="E4" i="6"/>
  <c r="H16" i="6"/>
  <c r="I16" i="6" s="1"/>
  <c r="E17" i="6"/>
  <c r="I14" i="5"/>
  <c r="K14" i="5"/>
  <c r="L15" i="5" s="1"/>
  <c r="M16" i="5" s="1"/>
  <c r="N17" i="5" s="1"/>
  <c r="F15" i="5"/>
  <c r="H15" i="5"/>
  <c r="G13" i="5"/>
  <c r="L16" i="5"/>
  <c r="M17" i="5" s="1"/>
  <c r="N18" i="5" s="1"/>
  <c r="G5" i="5"/>
  <c r="G6" i="5"/>
  <c r="B16" i="4"/>
  <c r="C16" i="4"/>
  <c r="D16" i="4"/>
  <c r="E16" i="4"/>
  <c r="F16" i="4"/>
  <c r="I8" i="4"/>
  <c r="S13" i="11" l="1"/>
  <c r="Q16" i="11" s="1" a="1"/>
  <c r="R14" i="11"/>
  <c r="L23" i="11"/>
  <c r="E16" i="10"/>
  <c r="D17" i="10"/>
  <c r="I14" i="10"/>
  <c r="G17" i="10" s="1"/>
  <c r="K14" i="10"/>
  <c r="E17" i="10" s="1"/>
  <c r="F4" i="9"/>
  <c r="D4" i="9"/>
  <c r="H19" i="8"/>
  <c r="F19" i="8"/>
  <c r="E20" i="8"/>
  <c r="F5" i="8"/>
  <c r="E6" i="8"/>
  <c r="G3" i="7"/>
  <c r="L3" i="7"/>
  <c r="F4" i="6"/>
  <c r="G4" i="6"/>
  <c r="E5" i="6"/>
  <c r="G17" i="6"/>
  <c r="H17" i="6" s="1"/>
  <c r="I17" i="6" s="1"/>
  <c r="F17" i="6"/>
  <c r="E18" i="6" s="1"/>
  <c r="K17" i="6"/>
  <c r="H14" i="5"/>
  <c r="I15" i="5" s="1"/>
  <c r="J16" i="5" s="1"/>
  <c r="K17" i="5" s="1"/>
  <c r="L18" i="5" s="1"/>
  <c r="M19" i="5" s="1"/>
  <c r="N20" i="5" s="1"/>
  <c r="F14" i="5"/>
  <c r="F6" i="5"/>
  <c r="H6" i="5"/>
  <c r="I7" i="5" s="1"/>
  <c r="H7" i="5"/>
  <c r="F7" i="5"/>
  <c r="J15" i="5"/>
  <c r="G16" i="5"/>
  <c r="F15" i="4"/>
  <c r="F20" i="4" s="1"/>
  <c r="E15" i="4"/>
  <c r="E20" i="4" s="1"/>
  <c r="D15" i="4"/>
  <c r="C15" i="4"/>
  <c r="C20" i="4" s="1"/>
  <c r="B15" i="4"/>
  <c r="B20" i="4" s="1"/>
  <c r="Q16" i="11" l="1"/>
  <c r="V16" i="11" s="1" a="1"/>
  <c r="V16" i="11" s="1"/>
  <c r="I16" i="10" a="1"/>
  <c r="G4" i="9"/>
  <c r="H4" i="9" s="1"/>
  <c r="B5" i="9"/>
  <c r="H20" i="8"/>
  <c r="F20" i="8"/>
  <c r="E21" i="8"/>
  <c r="F6" i="8"/>
  <c r="E7" i="8"/>
  <c r="M3" i="7"/>
  <c r="H3" i="7"/>
  <c r="F5" i="6"/>
  <c r="G5" i="6"/>
  <c r="E6" i="6"/>
  <c r="K18" i="6"/>
  <c r="F18" i="6"/>
  <c r="G18" i="6"/>
  <c r="H18" i="6"/>
  <c r="I18" i="6"/>
  <c r="E19" i="6"/>
  <c r="I16" i="5"/>
  <c r="K16" i="5"/>
  <c r="L17" i="5" s="1"/>
  <c r="M18" i="5" s="1"/>
  <c r="N19" i="5" s="1"/>
  <c r="F17" i="5"/>
  <c r="G15" i="5"/>
  <c r="G7" i="5"/>
  <c r="I13" i="4"/>
  <c r="D20" i="4"/>
  <c r="I16" i="10" l="1"/>
  <c r="L16" i="10" a="1"/>
  <c r="L16" i="10" s="1"/>
  <c r="C5" i="9"/>
  <c r="E5" i="9"/>
  <c r="H21" i="8"/>
  <c r="F21" i="8"/>
  <c r="E22" i="8" s="1"/>
  <c r="F7" i="8"/>
  <c r="E8" i="8"/>
  <c r="N3" i="7"/>
  <c r="J4" i="7" s="1"/>
  <c r="I3" i="7"/>
  <c r="E4" i="7" s="1"/>
  <c r="F6" i="6"/>
  <c r="G6" i="6"/>
  <c r="E7" i="6"/>
  <c r="K19" i="6"/>
  <c r="F19" i="6"/>
  <c r="G19" i="6"/>
  <c r="H19" i="6" s="1"/>
  <c r="H16" i="5"/>
  <c r="I17" i="5" s="1"/>
  <c r="J18" i="5" s="1"/>
  <c r="K19" i="5" s="1"/>
  <c r="L20" i="5" s="1"/>
  <c r="M21" i="5" s="1"/>
  <c r="N22" i="5" s="1"/>
  <c r="F16" i="5"/>
  <c r="G17" i="5" s="1"/>
  <c r="J17" i="5"/>
  <c r="K18" i="5" s="1"/>
  <c r="L19" i="5" s="1"/>
  <c r="M20" i="5" s="1"/>
  <c r="N21" i="5" s="1"/>
  <c r="H17" i="5"/>
  <c r="F21" i="4"/>
  <c r="I18" i="4" s="1"/>
  <c r="E21" i="4"/>
  <c r="D21" i="4"/>
  <c r="C21" i="4"/>
  <c r="B21" i="4"/>
  <c r="D5" i="9" l="1"/>
  <c r="F5" i="9"/>
  <c r="H5" i="9" s="1"/>
  <c r="H22" i="8"/>
  <c r="F22" i="8"/>
  <c r="E23" i="8" s="1"/>
  <c r="F8" i="8"/>
  <c r="E9" i="8"/>
  <c r="K4" i="7"/>
  <c r="G4" i="7" s="1"/>
  <c r="F4" i="7"/>
  <c r="L4" i="7" s="1"/>
  <c r="F7" i="6"/>
  <c r="G7" i="6"/>
  <c r="E8" i="6" s="1"/>
  <c r="I19" i="6"/>
  <c r="E20" i="6"/>
  <c r="F18" i="5"/>
  <c r="H18" i="5"/>
  <c r="I19" i="5" s="1"/>
  <c r="J20" i="5" s="1"/>
  <c r="K21" i="5" s="1"/>
  <c r="L22" i="5" s="1"/>
  <c r="M23" i="5" s="1"/>
  <c r="N24" i="5" s="1"/>
  <c r="G18" i="5"/>
  <c r="I18" i="5"/>
  <c r="J19" i="5" s="1"/>
  <c r="K20" i="5" s="1"/>
  <c r="L21" i="5" s="1"/>
  <c r="M22" i="5" s="1"/>
  <c r="N23" i="5" s="1"/>
  <c r="I19" i="4"/>
  <c r="G5" i="9" l="1"/>
  <c r="B6" i="9"/>
  <c r="H23" i="8"/>
  <c r="F23" i="8"/>
  <c r="E24" i="8" s="1"/>
  <c r="F9" i="8"/>
  <c r="E10" i="8"/>
  <c r="M4" i="7"/>
  <c r="H4" i="7"/>
  <c r="F8" i="6"/>
  <c r="G8" i="6"/>
  <c r="E9" i="6"/>
  <c r="F20" i="6"/>
  <c r="K20" i="6"/>
  <c r="H19" i="5"/>
  <c r="I20" i="5" s="1"/>
  <c r="J21" i="5" s="1"/>
  <c r="K22" i="5" s="1"/>
  <c r="L23" i="5" s="1"/>
  <c r="M24" i="5" s="1"/>
  <c r="N25" i="5" s="1"/>
  <c r="F19" i="5"/>
  <c r="G20" i="5" s="1"/>
  <c r="G19" i="5"/>
  <c r="I20" i="4"/>
  <c r="I21" i="4" s="1"/>
  <c r="E6" i="9" l="1"/>
  <c r="C6" i="9"/>
  <c r="H24" i="8"/>
  <c r="F24" i="8"/>
  <c r="E25" i="8" s="1"/>
  <c r="F10" i="8"/>
  <c r="E11" i="8"/>
  <c r="N4" i="7"/>
  <c r="J5" i="7" s="1"/>
  <c r="I4" i="7"/>
  <c r="E5" i="7" s="1"/>
  <c r="F9" i="6"/>
  <c r="G9" i="6" s="1"/>
  <c r="E10" i="6" s="1"/>
  <c r="G20" i="6"/>
  <c r="H20" i="6" s="1"/>
  <c r="F21" i="5"/>
  <c r="H21" i="5"/>
  <c r="I22" i="5" s="1"/>
  <c r="J23" i="5" s="1"/>
  <c r="K24" i="5" s="1"/>
  <c r="L25" i="5" s="1"/>
  <c r="M26" i="5" s="1"/>
  <c r="N27" i="5" s="1"/>
  <c r="H20" i="5"/>
  <c r="I21" i="5" s="1"/>
  <c r="J22" i="5" s="1"/>
  <c r="K23" i="5" s="1"/>
  <c r="L24" i="5" s="1"/>
  <c r="M25" i="5" s="1"/>
  <c r="N26" i="5" s="1"/>
  <c r="F20" i="5"/>
  <c r="G21" i="5" s="1"/>
  <c r="B7" i="9" l="1"/>
  <c r="D6" i="9"/>
  <c r="G6" i="9" s="1"/>
  <c r="F6" i="9"/>
  <c r="H6" i="9" s="1"/>
  <c r="H25" i="8"/>
  <c r="F25" i="8"/>
  <c r="E26" i="8" s="1"/>
  <c r="F11" i="8"/>
  <c r="E12" i="8"/>
  <c r="F12" i="8" s="1"/>
  <c r="K5" i="7"/>
  <c r="G5" i="7"/>
  <c r="F5" i="7"/>
  <c r="L5" i="7" s="1"/>
  <c r="F10" i="6"/>
  <c r="G10" i="6"/>
  <c r="E11" i="6"/>
  <c r="I20" i="6"/>
  <c r="E21" i="6"/>
  <c r="F22" i="5"/>
  <c r="H22" i="5"/>
  <c r="I23" i="5" s="1"/>
  <c r="J24" i="5" s="1"/>
  <c r="K25" i="5" s="1"/>
  <c r="L26" i="5" s="1"/>
  <c r="M27" i="5" s="1"/>
  <c r="N28" i="5" s="1"/>
  <c r="G22" i="5"/>
  <c r="E7" i="9" l="1"/>
  <c r="C7" i="9"/>
  <c r="H26" i="8"/>
  <c r="F26" i="8"/>
  <c r="M5" i="7"/>
  <c r="H5" i="7"/>
  <c r="F11" i="6"/>
  <c r="G11" i="6"/>
  <c r="E12" i="6" s="1"/>
  <c r="K21" i="6"/>
  <c r="F21" i="6"/>
  <c r="G21" i="6"/>
  <c r="H21" i="6"/>
  <c r="I21" i="6"/>
  <c r="E22" i="6"/>
  <c r="H23" i="5"/>
  <c r="I24" i="5" s="1"/>
  <c r="J25" i="5" s="1"/>
  <c r="K26" i="5" s="1"/>
  <c r="L27" i="5" s="1"/>
  <c r="M28" i="5" s="1"/>
  <c r="N29" i="5" s="1"/>
  <c r="F23" i="5"/>
  <c r="G23" i="5"/>
  <c r="D7" i="9" l="1"/>
  <c r="G7" i="9" s="1"/>
  <c r="B8" i="9"/>
  <c r="F7" i="9"/>
  <c r="H7" i="9" s="1"/>
  <c r="I5" i="7"/>
  <c r="E6" i="7" s="1"/>
  <c r="N5" i="7"/>
  <c r="J6" i="7" s="1"/>
  <c r="F12" i="6"/>
  <c r="G12" i="6"/>
  <c r="K22" i="6"/>
  <c r="F22" i="6"/>
  <c r="G22" i="6"/>
  <c r="H22" i="6"/>
  <c r="I22" i="6"/>
  <c r="E23" i="6"/>
  <c r="H24" i="5"/>
  <c r="I25" i="5" s="1"/>
  <c r="J26" i="5" s="1"/>
  <c r="K27" i="5" s="1"/>
  <c r="L28" i="5" s="1"/>
  <c r="M29" i="5" s="1"/>
  <c r="N30" i="5" s="1"/>
  <c r="F24" i="5"/>
  <c r="G25" i="5" s="1"/>
  <c r="G24" i="5"/>
  <c r="C8" i="9" l="1"/>
  <c r="E8" i="9"/>
  <c r="F6" i="7"/>
  <c r="K6" i="7"/>
  <c r="L6" i="7"/>
  <c r="H6" i="7" s="1"/>
  <c r="G6" i="7"/>
  <c r="M6" i="7" s="1"/>
  <c r="K23" i="6"/>
  <c r="F23" i="6"/>
  <c r="G23" i="6"/>
  <c r="H23" i="6"/>
  <c r="I23" i="6"/>
  <c r="E24" i="6"/>
  <c r="F26" i="5"/>
  <c r="H26" i="5"/>
  <c r="I27" i="5" s="1"/>
  <c r="J28" i="5" s="1"/>
  <c r="K29" i="5" s="1"/>
  <c r="L30" i="5" s="1"/>
  <c r="M31" i="5" s="1"/>
  <c r="N32" i="5" s="1"/>
  <c r="H25" i="5"/>
  <c r="I26" i="5" s="1"/>
  <c r="J27" i="5" s="1"/>
  <c r="K28" i="5" s="1"/>
  <c r="L29" i="5" s="1"/>
  <c r="M30" i="5" s="1"/>
  <c r="N31" i="5" s="1"/>
  <c r="F25" i="5"/>
  <c r="G26" i="5" s="1"/>
  <c r="D8" i="9" l="1"/>
  <c r="F8" i="9"/>
  <c r="N6" i="7"/>
  <c r="J7" i="7" s="1"/>
  <c r="I6" i="7"/>
  <c r="E7" i="7" s="1"/>
  <c r="K24" i="6"/>
  <c r="F24" i="6"/>
  <c r="F27" i="5"/>
  <c r="H27" i="5"/>
  <c r="I28" i="5" s="1"/>
  <c r="J29" i="5" s="1"/>
  <c r="K30" i="5" s="1"/>
  <c r="L31" i="5" s="1"/>
  <c r="M32" i="5" s="1"/>
  <c r="N33" i="5" s="1"/>
  <c r="G27" i="5"/>
  <c r="G8" i="9" l="1"/>
  <c r="H8" i="9" s="1"/>
  <c r="B9" i="9"/>
  <c r="G7" i="7"/>
  <c r="F7" i="7"/>
  <c r="K7" i="7"/>
  <c r="G24" i="6"/>
  <c r="H28" i="5"/>
  <c r="I29" i="5" s="1"/>
  <c r="J30" i="5" s="1"/>
  <c r="K31" i="5" s="1"/>
  <c r="L32" i="5" s="1"/>
  <c r="M33" i="5" s="1"/>
  <c r="N34" i="5" s="1"/>
  <c r="F28" i="5"/>
  <c r="G28" i="5"/>
  <c r="E9" i="9" l="1"/>
  <c r="C9" i="9"/>
  <c r="L7" i="7"/>
  <c r="H24" i="6"/>
  <c r="I24" i="6" s="1"/>
  <c r="E25" i="6"/>
  <c r="H29" i="5"/>
  <c r="I30" i="5" s="1"/>
  <c r="J31" i="5" s="1"/>
  <c r="K32" i="5" s="1"/>
  <c r="L33" i="5" s="1"/>
  <c r="M34" i="5" s="1"/>
  <c r="N35" i="5" s="1"/>
  <c r="F29" i="5"/>
  <c r="G30" i="5" s="1"/>
  <c r="G29" i="5"/>
  <c r="F9" i="9" l="1"/>
  <c r="H9" i="9" s="1"/>
  <c r="D9" i="9"/>
  <c r="M7" i="7"/>
  <c r="H7" i="7"/>
  <c r="K25" i="6"/>
  <c r="F25" i="6"/>
  <c r="G25" i="6" s="1"/>
  <c r="F31" i="5"/>
  <c r="H31" i="5"/>
  <c r="I32" i="5" s="1"/>
  <c r="J33" i="5" s="1"/>
  <c r="K34" i="5" s="1"/>
  <c r="L35" i="5" s="1"/>
  <c r="M36" i="5" s="1"/>
  <c r="N37" i="5" s="1"/>
  <c r="H30" i="5"/>
  <c r="I31" i="5" s="1"/>
  <c r="J32" i="5" s="1"/>
  <c r="K33" i="5" s="1"/>
  <c r="L34" i="5" s="1"/>
  <c r="M35" i="5" s="1"/>
  <c r="N36" i="5" s="1"/>
  <c r="F30" i="5"/>
  <c r="G31" i="5" s="1"/>
  <c r="G9" i="9" l="1"/>
  <c r="B10" i="9"/>
  <c r="N7" i="7"/>
  <c r="J8" i="7" s="1"/>
  <c r="I7" i="7"/>
  <c r="E8" i="7" s="1"/>
  <c r="H25" i="6"/>
  <c r="F32" i="5"/>
  <c r="H32" i="5"/>
  <c r="I33" i="5" s="1"/>
  <c r="J34" i="5" s="1"/>
  <c r="K35" i="5" s="1"/>
  <c r="L36" i="5" s="1"/>
  <c r="M37" i="5" s="1"/>
  <c r="N38" i="5" s="1"/>
  <c r="G32" i="5"/>
  <c r="C10" i="9" l="1"/>
  <c r="E10" i="9"/>
  <c r="K8" i="7"/>
  <c r="F8" i="7"/>
  <c r="L8" i="7" s="1"/>
  <c r="G8" i="7"/>
  <c r="I25" i="6"/>
  <c r="E26" i="6"/>
  <c r="H33" i="5"/>
  <c r="I34" i="5" s="1"/>
  <c r="J35" i="5" s="1"/>
  <c r="K36" i="5" s="1"/>
  <c r="L37" i="5" s="1"/>
  <c r="M38" i="5" s="1"/>
  <c r="N39" i="5" s="1"/>
  <c r="F33" i="5"/>
  <c r="G34" i="5" s="1"/>
  <c r="G33" i="5"/>
  <c r="D10" i="9" l="1"/>
  <c r="G10" i="9" s="1"/>
  <c r="B11" i="9"/>
  <c r="F10" i="9"/>
  <c r="H10" i="9" s="1"/>
  <c r="M8" i="7"/>
  <c r="H8" i="7"/>
  <c r="K26" i="6"/>
  <c r="F26" i="6"/>
  <c r="G26" i="6"/>
  <c r="H26" i="6" s="1"/>
  <c r="I26" i="6" s="1"/>
  <c r="F35" i="5"/>
  <c r="H35" i="5"/>
  <c r="I36" i="5" s="1"/>
  <c r="J37" i="5" s="1"/>
  <c r="K38" i="5" s="1"/>
  <c r="L39" i="5" s="1"/>
  <c r="M40" i="5" s="1"/>
  <c r="N41" i="5" s="1"/>
  <c r="H34" i="5"/>
  <c r="I35" i="5" s="1"/>
  <c r="J36" i="5" s="1"/>
  <c r="K37" i="5" s="1"/>
  <c r="L38" i="5" s="1"/>
  <c r="M39" i="5" s="1"/>
  <c r="N40" i="5" s="1"/>
  <c r="F34" i="5"/>
  <c r="G35" i="5" s="1"/>
  <c r="C11" i="9" l="1"/>
  <c r="E11" i="9"/>
  <c r="I8" i="7"/>
  <c r="E9" i="7" s="1"/>
  <c r="N8" i="7"/>
  <c r="J9" i="7" s="1"/>
  <c r="F36" i="5"/>
  <c r="G37" i="5" s="1"/>
  <c r="H36" i="5"/>
  <c r="I37" i="5" s="1"/>
  <c r="J38" i="5" s="1"/>
  <c r="K39" i="5" s="1"/>
  <c r="L40" i="5" s="1"/>
  <c r="M41" i="5" s="1"/>
  <c r="N42" i="5" s="1"/>
  <c r="G36" i="5"/>
  <c r="D11" i="9" l="1"/>
  <c r="G11" i="9" s="1"/>
  <c r="F11" i="9"/>
  <c r="H11" i="9" s="1"/>
  <c r="B12" i="9"/>
  <c r="K9" i="7"/>
  <c r="F9" i="7"/>
  <c r="L9" i="7" s="1"/>
  <c r="G9" i="7"/>
  <c r="F38" i="5"/>
  <c r="H38" i="5"/>
  <c r="I39" i="5" s="1"/>
  <c r="J40" i="5" s="1"/>
  <c r="K41" i="5" s="1"/>
  <c r="L42" i="5" s="1"/>
  <c r="M43" i="5" s="1"/>
  <c r="N44" i="5" s="1"/>
  <c r="H37" i="5"/>
  <c r="I38" i="5" s="1"/>
  <c r="J39" i="5" s="1"/>
  <c r="K40" i="5" s="1"/>
  <c r="L41" i="5" s="1"/>
  <c r="M42" i="5" s="1"/>
  <c r="N43" i="5" s="1"/>
  <c r="F37" i="5"/>
  <c r="G38" i="5" s="1"/>
  <c r="E12" i="9" l="1"/>
  <c r="C12" i="9"/>
  <c r="M9" i="7"/>
  <c r="H9" i="7"/>
  <c r="F39" i="5"/>
  <c r="H39" i="5"/>
  <c r="I40" i="5" s="1"/>
  <c r="J41" i="5" s="1"/>
  <c r="K42" i="5" s="1"/>
  <c r="L43" i="5" s="1"/>
  <c r="M44" i="5" s="1"/>
  <c r="N45" i="5" s="1"/>
  <c r="G39" i="5"/>
  <c r="D12" i="9" l="1"/>
  <c r="G12" i="9" s="1"/>
  <c r="B13" i="9"/>
  <c r="F12" i="9"/>
  <c r="H12" i="9" s="1"/>
  <c r="I9" i="7"/>
  <c r="E10" i="7" s="1"/>
  <c r="K10" i="7" s="1"/>
  <c r="N9" i="7"/>
  <c r="J10" i="7" s="1"/>
  <c r="F10" i="7"/>
  <c r="H40" i="5"/>
  <c r="I41" i="5" s="1"/>
  <c r="J42" i="5" s="1"/>
  <c r="K43" i="5" s="1"/>
  <c r="L44" i="5" s="1"/>
  <c r="M45" i="5" s="1"/>
  <c r="N46" i="5" s="1"/>
  <c r="F40" i="5"/>
  <c r="G40" i="5"/>
  <c r="E13" i="9" l="1"/>
  <c r="C13" i="9"/>
  <c r="L10" i="7"/>
  <c r="G10" i="7"/>
  <c r="H41" i="5"/>
  <c r="I42" i="5" s="1"/>
  <c r="J43" i="5" s="1"/>
  <c r="K44" i="5" s="1"/>
  <c r="L45" i="5" s="1"/>
  <c r="M46" i="5" s="1"/>
  <c r="N47" i="5" s="1"/>
  <c r="F41" i="5"/>
  <c r="G42" i="5" s="1"/>
  <c r="G41" i="5"/>
  <c r="F13" i="9" l="1"/>
  <c r="D13" i="9"/>
  <c r="G13" i="9" s="1"/>
  <c r="B14" i="9"/>
  <c r="M10" i="7"/>
  <c r="H10" i="7"/>
  <c r="F43" i="5"/>
  <c r="H43" i="5"/>
  <c r="I44" i="5" s="1"/>
  <c r="J45" i="5" s="1"/>
  <c r="K46" i="5" s="1"/>
  <c r="L47" i="5" s="1"/>
  <c r="M48" i="5" s="1"/>
  <c r="N49" i="5" s="1"/>
  <c r="H42" i="5"/>
  <c r="I43" i="5" s="1"/>
  <c r="J44" i="5" s="1"/>
  <c r="K45" i="5" s="1"/>
  <c r="L46" i="5" s="1"/>
  <c r="M47" i="5" s="1"/>
  <c r="N48" i="5" s="1"/>
  <c r="F42" i="5"/>
  <c r="G43" i="5" s="1"/>
  <c r="C14" i="9" l="1"/>
  <c r="E14" i="9"/>
  <c r="H13" i="9"/>
  <c r="J11" i="7"/>
  <c r="N10" i="7"/>
  <c r="I10" i="7"/>
  <c r="E11" i="7" s="1"/>
  <c r="F44" i="5"/>
  <c r="H44" i="5"/>
  <c r="I45" i="5" s="1"/>
  <c r="J46" i="5" s="1"/>
  <c r="K47" i="5" s="1"/>
  <c r="L48" i="5" s="1"/>
  <c r="M49" i="5" s="1"/>
  <c r="N50" i="5" s="1"/>
  <c r="G44" i="5"/>
  <c r="F14" i="9" l="1"/>
  <c r="D14" i="9"/>
  <c r="G14" i="9" s="1"/>
  <c r="B15" i="9"/>
  <c r="K11" i="7"/>
  <c r="F11" i="7"/>
  <c r="H45" i="5"/>
  <c r="I46" i="5" s="1"/>
  <c r="J47" i="5" s="1"/>
  <c r="K48" i="5" s="1"/>
  <c r="L49" i="5" s="1"/>
  <c r="M50" i="5" s="1"/>
  <c r="N51" i="5" s="1"/>
  <c r="F45" i="5"/>
  <c r="G46" i="5" s="1"/>
  <c r="G45" i="5"/>
  <c r="E15" i="9" l="1"/>
  <c r="C15" i="9"/>
  <c r="H14" i="9"/>
  <c r="L11" i="7"/>
  <c r="G11" i="7"/>
  <c r="F47" i="5"/>
  <c r="H47" i="5"/>
  <c r="I48" i="5" s="1"/>
  <c r="J49" i="5" s="1"/>
  <c r="K50" i="5" s="1"/>
  <c r="L51" i="5" s="1"/>
  <c r="M52" i="5" s="1"/>
  <c r="N53" i="5" s="1"/>
  <c r="H46" i="5"/>
  <c r="I47" i="5" s="1"/>
  <c r="J48" i="5" s="1"/>
  <c r="K49" i="5" s="1"/>
  <c r="L50" i="5" s="1"/>
  <c r="M51" i="5" s="1"/>
  <c r="N52" i="5" s="1"/>
  <c r="F46" i="5"/>
  <c r="G47" i="5" s="1"/>
  <c r="F15" i="9" l="1"/>
  <c r="D15" i="9"/>
  <c r="M11" i="7"/>
  <c r="H11" i="7"/>
  <c r="F48" i="5"/>
  <c r="H48" i="5"/>
  <c r="I49" i="5" s="1"/>
  <c r="J50" i="5" s="1"/>
  <c r="K51" i="5" s="1"/>
  <c r="L52" i="5" s="1"/>
  <c r="M53" i="5" s="1"/>
  <c r="N54" i="5" s="1"/>
  <c r="G48" i="5"/>
  <c r="G15" i="9" l="1"/>
  <c r="H15" i="9" s="1"/>
  <c r="B16" i="9"/>
  <c r="I11" i="7"/>
  <c r="E12" i="7" s="1"/>
  <c r="N11" i="7"/>
  <c r="J12" i="7" s="1"/>
  <c r="H49" i="5"/>
  <c r="I50" i="5" s="1"/>
  <c r="J51" i="5" s="1"/>
  <c r="K52" i="5" s="1"/>
  <c r="L53" i="5" s="1"/>
  <c r="M54" i="5" s="1"/>
  <c r="N55" i="5" s="1"/>
  <c r="F49" i="5"/>
  <c r="G50" i="5" s="1"/>
  <c r="G49" i="5"/>
  <c r="E16" i="9" l="1"/>
  <c r="C16" i="9"/>
  <c r="K12" i="7"/>
  <c r="F12" i="7"/>
  <c r="L12" i="7" s="1"/>
  <c r="G12" i="7"/>
  <c r="F51" i="5"/>
  <c r="G52" i="5" s="1"/>
  <c r="H51" i="5"/>
  <c r="I52" i="5" s="1"/>
  <c r="J53" i="5" s="1"/>
  <c r="K54" i="5" s="1"/>
  <c r="L55" i="5" s="1"/>
  <c r="M56" i="5" s="1"/>
  <c r="N57" i="5" s="1"/>
  <c r="H50" i="5"/>
  <c r="I51" i="5" s="1"/>
  <c r="J52" i="5" s="1"/>
  <c r="K53" i="5" s="1"/>
  <c r="L54" i="5" s="1"/>
  <c r="M55" i="5" s="1"/>
  <c r="N56" i="5" s="1"/>
  <c r="F50" i="5"/>
  <c r="G51" i="5" s="1"/>
  <c r="F16" i="9" l="1"/>
  <c r="D16" i="9"/>
  <c r="M12" i="7"/>
  <c r="H12" i="7"/>
  <c r="F53" i="5"/>
  <c r="H53" i="5"/>
  <c r="I54" i="5" s="1"/>
  <c r="J55" i="5" s="1"/>
  <c r="K56" i="5" s="1"/>
  <c r="L57" i="5" s="1"/>
  <c r="M58" i="5" s="1"/>
  <c r="N59" i="5" s="1"/>
  <c r="F52" i="5"/>
  <c r="H52" i="5"/>
  <c r="I53" i="5" s="1"/>
  <c r="J54" i="5" s="1"/>
  <c r="K55" i="5" s="1"/>
  <c r="L56" i="5" s="1"/>
  <c r="M57" i="5" s="1"/>
  <c r="N58" i="5" s="1"/>
  <c r="G16" i="9" l="1"/>
  <c r="H16" i="9" s="1"/>
  <c r="B17" i="9"/>
  <c r="I12" i="7"/>
  <c r="N12" i="7"/>
  <c r="G53" i="5"/>
  <c r="G54" i="5"/>
  <c r="C17" i="9" l="1"/>
  <c r="E17" i="9"/>
  <c r="H54" i="5"/>
  <c r="I55" i="5" s="1"/>
  <c r="J56" i="5" s="1"/>
  <c r="K57" i="5" s="1"/>
  <c r="L58" i="5" s="1"/>
  <c r="M59" i="5" s="1"/>
  <c r="N60" i="5" s="1"/>
  <c r="F54" i="5"/>
  <c r="H55" i="5"/>
  <c r="I56" i="5" s="1"/>
  <c r="J57" i="5" s="1"/>
  <c r="K58" i="5" s="1"/>
  <c r="L59" i="5" s="1"/>
  <c r="M60" i="5" s="1"/>
  <c r="N61" i="5" s="1"/>
  <c r="F55" i="5"/>
  <c r="G56" i="5" s="1"/>
  <c r="F17" i="9" l="1"/>
  <c r="D17" i="9"/>
  <c r="G17" i="9" s="1"/>
  <c r="B18" i="9"/>
  <c r="F57" i="5"/>
  <c r="G58" i="5" s="1"/>
  <c r="H57" i="5"/>
  <c r="I58" i="5" s="1"/>
  <c r="J59" i="5" s="1"/>
  <c r="K60" i="5" s="1"/>
  <c r="L61" i="5" s="1"/>
  <c r="M62" i="5" s="1"/>
  <c r="N63" i="5" s="1"/>
  <c r="G55" i="5"/>
  <c r="C18" i="9" l="1"/>
  <c r="E18" i="9"/>
  <c r="H17" i="9"/>
  <c r="F59" i="5"/>
  <c r="G60" i="5" s="1"/>
  <c r="H59" i="5"/>
  <c r="I60" i="5" s="1"/>
  <c r="J61" i="5" s="1"/>
  <c r="K62" i="5" s="1"/>
  <c r="L63" i="5" s="1"/>
  <c r="M64" i="5" s="1"/>
  <c r="N65" i="5" s="1"/>
  <c r="H56" i="5"/>
  <c r="I57" i="5" s="1"/>
  <c r="J58" i="5" s="1"/>
  <c r="K59" i="5" s="1"/>
  <c r="L60" i="5" s="1"/>
  <c r="M61" i="5" s="1"/>
  <c r="N62" i="5" s="1"/>
  <c r="F56" i="5"/>
  <c r="G57" i="5" s="1"/>
  <c r="D18" i="9" l="1"/>
  <c r="G18" i="9" s="1"/>
  <c r="F18" i="9"/>
  <c r="H18" i="9" s="1"/>
  <c r="B19" i="9"/>
  <c r="F61" i="5"/>
  <c r="H61" i="5"/>
  <c r="I62" i="5" s="1"/>
  <c r="J63" i="5" s="1"/>
  <c r="K64" i="5" s="1"/>
  <c r="L65" i="5" s="1"/>
  <c r="M66" i="5" s="1"/>
  <c r="N67" i="5" s="1"/>
  <c r="F58" i="5"/>
  <c r="H58" i="5"/>
  <c r="I59" i="5" s="1"/>
  <c r="J60" i="5" s="1"/>
  <c r="K61" i="5" s="1"/>
  <c r="L62" i="5" s="1"/>
  <c r="M63" i="5" s="1"/>
  <c r="N64" i="5" s="1"/>
  <c r="C19" i="9" l="1"/>
  <c r="E19" i="9"/>
  <c r="G59" i="5"/>
  <c r="G62" i="5"/>
  <c r="D19" i="9" l="1"/>
  <c r="G19" i="9" s="1"/>
  <c r="B20" i="9"/>
  <c r="F19" i="9"/>
  <c r="H19" i="9" s="1"/>
  <c r="H60" i="5"/>
  <c r="I61" i="5" s="1"/>
  <c r="J62" i="5" s="1"/>
  <c r="K63" i="5" s="1"/>
  <c r="L64" i="5" s="1"/>
  <c r="M65" i="5" s="1"/>
  <c r="N66" i="5" s="1"/>
  <c r="F60" i="5"/>
  <c r="G61" i="5" s="1"/>
  <c r="H63" i="5"/>
  <c r="I64" i="5" s="1"/>
  <c r="J65" i="5" s="1"/>
  <c r="K66" i="5" s="1"/>
  <c r="L67" i="5" s="1"/>
  <c r="M68" i="5" s="1"/>
  <c r="N69" i="5" s="1"/>
  <c r="F63" i="5"/>
  <c r="G64" i="5" s="1"/>
  <c r="C20" i="9" l="1"/>
  <c r="E20" i="9"/>
  <c r="F62" i="5"/>
  <c r="H62" i="5"/>
  <c r="I63" i="5" s="1"/>
  <c r="J64" i="5" s="1"/>
  <c r="K65" i="5" s="1"/>
  <c r="L66" i="5" s="1"/>
  <c r="M67" i="5" s="1"/>
  <c r="N68" i="5" s="1"/>
  <c r="F65" i="5"/>
  <c r="G66" i="5" s="1"/>
  <c r="H65" i="5"/>
  <c r="I66" i="5" s="1"/>
  <c r="J67" i="5" s="1"/>
  <c r="K68" i="5" s="1"/>
  <c r="L69" i="5" s="1"/>
  <c r="M70" i="5" s="1"/>
  <c r="N71" i="5" s="1"/>
  <c r="F20" i="9" l="1"/>
  <c r="D20" i="9"/>
  <c r="F67" i="5"/>
  <c r="G68" i="5" s="1"/>
  <c r="H67" i="5"/>
  <c r="I68" i="5" s="1"/>
  <c r="J69" i="5" s="1"/>
  <c r="K70" i="5" s="1"/>
  <c r="L71" i="5" s="1"/>
  <c r="M72" i="5" s="1"/>
  <c r="N73" i="5" s="1"/>
  <c r="G63" i="5"/>
  <c r="G20" i="9" l="1"/>
  <c r="H20" i="9" s="1"/>
  <c r="B21" i="9"/>
  <c r="F69" i="5"/>
  <c r="G70" i="5" s="1"/>
  <c r="H69" i="5"/>
  <c r="I70" i="5" s="1"/>
  <c r="J71" i="5" s="1"/>
  <c r="K72" i="5" s="1"/>
  <c r="L73" i="5" s="1"/>
  <c r="M74" i="5" s="1"/>
  <c r="N75" i="5" s="1"/>
  <c r="H64" i="5"/>
  <c r="I65" i="5" s="1"/>
  <c r="J66" i="5" s="1"/>
  <c r="K67" i="5" s="1"/>
  <c r="L68" i="5" s="1"/>
  <c r="M69" i="5" s="1"/>
  <c r="N70" i="5" s="1"/>
  <c r="F64" i="5"/>
  <c r="G65" i="5" s="1"/>
  <c r="E21" i="9" l="1"/>
  <c r="C21" i="9"/>
  <c r="F71" i="5"/>
  <c r="G72" i="5" s="1"/>
  <c r="H71" i="5"/>
  <c r="I72" i="5" s="1"/>
  <c r="J73" i="5" s="1"/>
  <c r="K74" i="5" s="1"/>
  <c r="L75" i="5" s="1"/>
  <c r="M76" i="5" s="1"/>
  <c r="N77" i="5" s="1"/>
  <c r="F66" i="5"/>
  <c r="H66" i="5"/>
  <c r="I67" i="5" s="1"/>
  <c r="J68" i="5" s="1"/>
  <c r="K69" i="5" s="1"/>
  <c r="L70" i="5" s="1"/>
  <c r="M71" i="5" s="1"/>
  <c r="N72" i="5" s="1"/>
  <c r="F21" i="9" l="1"/>
  <c r="D21" i="9"/>
  <c r="G21" i="9" s="1"/>
  <c r="B22" i="9"/>
  <c r="F73" i="5"/>
  <c r="H73" i="5"/>
  <c r="I74" i="5" s="1"/>
  <c r="J75" i="5" s="1"/>
  <c r="K76" i="5" s="1"/>
  <c r="L77" i="5" s="1"/>
  <c r="M78" i="5" s="1"/>
  <c r="N79" i="5" s="1"/>
  <c r="G67" i="5"/>
  <c r="C22" i="9" l="1"/>
  <c r="E22" i="9"/>
  <c r="H21" i="9"/>
  <c r="H68" i="5"/>
  <c r="I69" i="5" s="1"/>
  <c r="J70" i="5" s="1"/>
  <c r="K71" i="5" s="1"/>
  <c r="L72" i="5" s="1"/>
  <c r="M73" i="5" s="1"/>
  <c r="N74" i="5" s="1"/>
  <c r="F68" i="5"/>
  <c r="G69" i="5" s="1"/>
  <c r="G74" i="5"/>
  <c r="F22" i="9" l="1"/>
  <c r="D22" i="9"/>
  <c r="F70" i="5"/>
  <c r="H70" i="5"/>
  <c r="I71" i="5" s="1"/>
  <c r="J72" i="5" s="1"/>
  <c r="K73" i="5" s="1"/>
  <c r="L74" i="5" s="1"/>
  <c r="M75" i="5" s="1"/>
  <c r="N76" i="5" s="1"/>
  <c r="H75" i="5"/>
  <c r="I76" i="5" s="1"/>
  <c r="J77" i="5" s="1"/>
  <c r="K78" i="5" s="1"/>
  <c r="L79" i="5" s="1"/>
  <c r="M80" i="5" s="1"/>
  <c r="N81" i="5" s="1"/>
  <c r="F75" i="5"/>
  <c r="G76" i="5" s="1"/>
  <c r="G22" i="9" l="1"/>
  <c r="H22" i="9" s="1"/>
  <c r="B23" i="9"/>
  <c r="F77" i="5"/>
  <c r="G78" i="5" s="1"/>
  <c r="H77" i="5"/>
  <c r="I78" i="5" s="1"/>
  <c r="J79" i="5" s="1"/>
  <c r="K80" i="5" s="1"/>
  <c r="L81" i="5" s="1"/>
  <c r="M82" i="5" s="1"/>
  <c r="N83" i="5" s="1"/>
  <c r="G71" i="5"/>
  <c r="E23" i="9" l="1"/>
  <c r="C23" i="9"/>
  <c r="F79" i="5"/>
  <c r="H79" i="5"/>
  <c r="I80" i="5" s="1"/>
  <c r="J81" i="5" s="1"/>
  <c r="K82" i="5" s="1"/>
  <c r="L83" i="5" s="1"/>
  <c r="M84" i="5" s="1"/>
  <c r="N85" i="5" s="1"/>
  <c r="H72" i="5"/>
  <c r="I73" i="5" s="1"/>
  <c r="J74" i="5" s="1"/>
  <c r="K75" i="5" s="1"/>
  <c r="L76" i="5" s="1"/>
  <c r="M77" i="5" s="1"/>
  <c r="N78" i="5" s="1"/>
  <c r="F72" i="5"/>
  <c r="G73" i="5" s="1"/>
  <c r="D23" i="9" l="1"/>
  <c r="G23" i="9" s="1"/>
  <c r="F23" i="9"/>
  <c r="H23" i="9" s="1"/>
  <c r="B24" i="9"/>
  <c r="F74" i="5"/>
  <c r="H74" i="5"/>
  <c r="I75" i="5" s="1"/>
  <c r="J76" i="5" s="1"/>
  <c r="K77" i="5" s="1"/>
  <c r="L78" i="5" s="1"/>
  <c r="M79" i="5" s="1"/>
  <c r="N80" i="5" s="1"/>
  <c r="G80" i="5"/>
  <c r="C24" i="9" l="1"/>
  <c r="E24" i="9"/>
  <c r="H81" i="5"/>
  <c r="I82" i="5" s="1"/>
  <c r="J83" i="5" s="1"/>
  <c r="K84" i="5" s="1"/>
  <c r="L85" i="5" s="1"/>
  <c r="M86" i="5" s="1"/>
  <c r="N87" i="5" s="1"/>
  <c r="F81" i="5"/>
  <c r="G82" i="5" s="1"/>
  <c r="G75" i="5"/>
  <c r="D24" i="9" l="1"/>
  <c r="F24" i="9"/>
  <c r="F83" i="5"/>
  <c r="H83" i="5"/>
  <c r="I84" i="5" s="1"/>
  <c r="J85" i="5" s="1"/>
  <c r="K86" i="5" s="1"/>
  <c r="L87" i="5" s="1"/>
  <c r="M88" i="5" s="1"/>
  <c r="N89" i="5" s="1"/>
  <c r="H76" i="5"/>
  <c r="I77" i="5" s="1"/>
  <c r="J78" i="5" s="1"/>
  <c r="K79" i="5" s="1"/>
  <c r="L80" i="5" s="1"/>
  <c r="M81" i="5" s="1"/>
  <c r="N82" i="5" s="1"/>
  <c r="F76" i="5"/>
  <c r="G77" i="5" s="1"/>
  <c r="G24" i="9" l="1"/>
  <c r="H24" i="9" s="1"/>
  <c r="B25" i="9"/>
  <c r="F78" i="5"/>
  <c r="H78" i="5"/>
  <c r="I79" i="5" s="1"/>
  <c r="J80" i="5" s="1"/>
  <c r="K81" i="5" s="1"/>
  <c r="L82" i="5" s="1"/>
  <c r="M83" i="5" s="1"/>
  <c r="N84" i="5" s="1"/>
  <c r="G84" i="5"/>
  <c r="C25" i="9" l="1"/>
  <c r="E25" i="9"/>
  <c r="H85" i="5"/>
  <c r="I86" i="5" s="1"/>
  <c r="J87" i="5" s="1"/>
  <c r="K88" i="5" s="1"/>
  <c r="L89" i="5" s="1"/>
  <c r="M90" i="5" s="1"/>
  <c r="N91" i="5" s="1"/>
  <c r="F85" i="5"/>
  <c r="G79" i="5"/>
  <c r="F25" i="9" l="1"/>
  <c r="H25" i="9" s="1"/>
  <c r="D25" i="9"/>
  <c r="H80" i="5"/>
  <c r="I81" i="5" s="1"/>
  <c r="J82" i="5" s="1"/>
  <c r="K83" i="5" s="1"/>
  <c r="L84" i="5" s="1"/>
  <c r="M85" i="5" s="1"/>
  <c r="N86" i="5" s="1"/>
  <c r="F80" i="5"/>
  <c r="G86" i="5"/>
  <c r="G25" i="9" l="1"/>
  <c r="B26" i="9"/>
  <c r="H87" i="5"/>
  <c r="I88" i="5" s="1"/>
  <c r="J89" i="5" s="1"/>
  <c r="K90" i="5" s="1"/>
  <c r="L91" i="5" s="1"/>
  <c r="M92" i="5" s="1"/>
  <c r="N93" i="5" s="1"/>
  <c r="F87" i="5"/>
  <c r="G88" i="5" s="1"/>
  <c r="G81" i="5"/>
  <c r="E26" i="9" l="1"/>
  <c r="C26" i="9"/>
  <c r="F89" i="5"/>
  <c r="G90" i="5" s="1"/>
  <c r="H89" i="5"/>
  <c r="I90" i="5" s="1"/>
  <c r="J91" i="5" s="1"/>
  <c r="K92" i="5" s="1"/>
  <c r="L93" i="5" s="1"/>
  <c r="M94" i="5" s="1"/>
  <c r="N95" i="5" s="1"/>
  <c r="H82" i="5"/>
  <c r="I83" i="5" s="1"/>
  <c r="J84" i="5" s="1"/>
  <c r="K85" i="5" s="1"/>
  <c r="L86" i="5" s="1"/>
  <c r="M87" i="5" s="1"/>
  <c r="N88" i="5" s="1"/>
  <c r="F82" i="5"/>
  <c r="G83" i="5" s="1"/>
  <c r="F26" i="9" l="1"/>
  <c r="D26" i="9"/>
  <c r="G26" i="9" s="1"/>
  <c r="B27" i="9"/>
  <c r="F91" i="5"/>
  <c r="H91" i="5"/>
  <c r="I92" i="5" s="1"/>
  <c r="J93" i="5" s="1"/>
  <c r="K94" i="5" s="1"/>
  <c r="L95" i="5" s="1"/>
  <c r="M96" i="5" s="1"/>
  <c r="N97" i="5" s="1"/>
  <c r="F84" i="5"/>
  <c r="H84" i="5"/>
  <c r="I85" i="5" s="1"/>
  <c r="J86" i="5" s="1"/>
  <c r="K87" i="5" s="1"/>
  <c r="L88" i="5" s="1"/>
  <c r="M89" i="5" s="1"/>
  <c r="N90" i="5" s="1"/>
  <c r="E27" i="9" l="1"/>
  <c r="C27" i="9"/>
  <c r="H26" i="9"/>
  <c r="G85" i="5"/>
  <c r="G92" i="5"/>
  <c r="F27" i="9" l="1"/>
  <c r="D27" i="9"/>
  <c r="H86" i="5"/>
  <c r="I87" i="5" s="1"/>
  <c r="J88" i="5" s="1"/>
  <c r="K89" i="5" s="1"/>
  <c r="L90" i="5" s="1"/>
  <c r="M91" i="5" s="1"/>
  <c r="N92" i="5" s="1"/>
  <c r="F86" i="5"/>
  <c r="G87" i="5" s="1"/>
  <c r="H93" i="5"/>
  <c r="I94" i="5" s="1"/>
  <c r="J95" i="5" s="1"/>
  <c r="K96" i="5" s="1"/>
  <c r="L97" i="5" s="1"/>
  <c r="M98" i="5" s="1"/>
  <c r="N99" i="5" s="1"/>
  <c r="F93" i="5"/>
  <c r="G94" i="5" s="1"/>
  <c r="G27" i="9" l="1"/>
  <c r="H27" i="9" s="1"/>
  <c r="B28" i="9"/>
  <c r="F88" i="5"/>
  <c r="H88" i="5"/>
  <c r="I89" i="5" s="1"/>
  <c r="J90" i="5" s="1"/>
  <c r="K91" i="5" s="1"/>
  <c r="L92" i="5" s="1"/>
  <c r="M93" i="5" s="1"/>
  <c r="N94" i="5" s="1"/>
  <c r="F95" i="5"/>
  <c r="G96" i="5" s="1"/>
  <c r="H95" i="5"/>
  <c r="I96" i="5" s="1"/>
  <c r="J97" i="5" s="1"/>
  <c r="K98" i="5" s="1"/>
  <c r="L99" i="5" s="1"/>
  <c r="M100" i="5" s="1"/>
  <c r="N101" i="5" s="1"/>
  <c r="C28" i="9" l="1"/>
  <c r="E28" i="9"/>
  <c r="F97" i="5"/>
  <c r="H97" i="5"/>
  <c r="I98" i="5" s="1"/>
  <c r="J99" i="5" s="1"/>
  <c r="K100" i="5" s="1"/>
  <c r="L101" i="5" s="1"/>
  <c r="M102" i="5" s="1"/>
  <c r="N103" i="5" s="1"/>
  <c r="G89" i="5"/>
  <c r="D28" i="9" l="1"/>
  <c r="G28" i="9" s="1"/>
  <c r="F28" i="9"/>
  <c r="H28" i="9" s="1"/>
  <c r="B29" i="9"/>
  <c r="H90" i="5"/>
  <c r="I91" i="5" s="1"/>
  <c r="J92" i="5" s="1"/>
  <c r="K93" i="5" s="1"/>
  <c r="L94" i="5" s="1"/>
  <c r="M95" i="5" s="1"/>
  <c r="N96" i="5" s="1"/>
  <c r="F90" i="5"/>
  <c r="G98" i="5"/>
  <c r="C29" i="9" l="1"/>
  <c r="E29" i="9"/>
  <c r="H99" i="5"/>
  <c r="I100" i="5" s="1"/>
  <c r="J101" i="5" s="1"/>
  <c r="K102" i="5" s="1"/>
  <c r="L103" i="5" s="1"/>
  <c r="M104" i="5" s="1"/>
  <c r="N105" i="5" s="1"/>
  <c r="F99" i="5"/>
  <c r="G91" i="5"/>
  <c r="F29" i="9" l="1"/>
  <c r="D29" i="9"/>
  <c r="H92" i="5"/>
  <c r="I93" i="5" s="1"/>
  <c r="J94" i="5" s="1"/>
  <c r="K95" i="5" s="1"/>
  <c r="L96" i="5" s="1"/>
  <c r="M97" i="5" s="1"/>
  <c r="N98" i="5" s="1"/>
  <c r="F92" i="5"/>
  <c r="G93" i="5" s="1"/>
  <c r="G100" i="5"/>
  <c r="G29" i="9" l="1"/>
  <c r="H29" i="9" s="1"/>
  <c r="B30" i="9"/>
  <c r="F94" i="5"/>
  <c r="G95" i="5" s="1"/>
  <c r="H94" i="5"/>
  <c r="I95" i="5" s="1"/>
  <c r="J96" i="5" s="1"/>
  <c r="K97" i="5" s="1"/>
  <c r="L98" i="5" s="1"/>
  <c r="M99" i="5" s="1"/>
  <c r="N100" i="5" s="1"/>
  <c r="H101" i="5"/>
  <c r="I102" i="5" s="1"/>
  <c r="J103" i="5" s="1"/>
  <c r="K104" i="5" s="1"/>
  <c r="L105" i="5" s="1"/>
  <c r="M106" i="5" s="1"/>
  <c r="N107" i="5" s="1"/>
  <c r="F101" i="5"/>
  <c r="G102" i="5" s="1"/>
  <c r="C30" i="9" l="1"/>
  <c r="E30" i="9"/>
  <c r="F96" i="5"/>
  <c r="H96" i="5"/>
  <c r="I97" i="5" s="1"/>
  <c r="J98" i="5" s="1"/>
  <c r="K99" i="5" s="1"/>
  <c r="L100" i="5" s="1"/>
  <c r="M101" i="5" s="1"/>
  <c r="N102" i="5" s="1"/>
  <c r="F103" i="5"/>
  <c r="H103" i="5"/>
  <c r="I104" i="5" s="1"/>
  <c r="J105" i="5" s="1"/>
  <c r="K106" i="5" s="1"/>
  <c r="L107" i="5" s="1"/>
  <c r="M108" i="5" s="1"/>
  <c r="N109" i="5" s="1"/>
  <c r="F30" i="9" l="1"/>
  <c r="D30" i="9"/>
  <c r="G30" i="9" s="1"/>
  <c r="B31" i="9"/>
  <c r="G104" i="5"/>
  <c r="G97" i="5"/>
  <c r="E31" i="9" l="1"/>
  <c r="C31" i="9"/>
  <c r="H30" i="9"/>
  <c r="H105" i="5"/>
  <c r="I106" i="5" s="1"/>
  <c r="J107" i="5" s="1"/>
  <c r="K108" i="5" s="1"/>
  <c r="L109" i="5" s="1"/>
  <c r="M110" i="5" s="1"/>
  <c r="N111" i="5" s="1"/>
  <c r="F105" i="5"/>
  <c r="G106" i="5" s="1"/>
  <c r="H98" i="5"/>
  <c r="I99" i="5" s="1"/>
  <c r="J100" i="5" s="1"/>
  <c r="K101" i="5" s="1"/>
  <c r="L102" i="5" s="1"/>
  <c r="M103" i="5" s="1"/>
  <c r="N104" i="5" s="1"/>
  <c r="F98" i="5"/>
  <c r="G99" i="5" s="1"/>
  <c r="D31" i="9" l="1"/>
  <c r="F31" i="9"/>
  <c r="H31" i="9" s="1"/>
  <c r="F107" i="5"/>
  <c r="H107" i="5"/>
  <c r="I108" i="5" s="1"/>
  <c r="J109" i="5" s="1"/>
  <c r="K110" i="5" s="1"/>
  <c r="L111" i="5" s="1"/>
  <c r="M112" i="5" s="1"/>
  <c r="N113" i="5" s="1"/>
  <c r="F100" i="5"/>
  <c r="H100" i="5"/>
  <c r="I101" i="5" s="1"/>
  <c r="J102" i="5" s="1"/>
  <c r="K103" i="5" s="1"/>
  <c r="L104" i="5" s="1"/>
  <c r="M105" i="5" s="1"/>
  <c r="N106" i="5" s="1"/>
  <c r="G31" i="9" l="1"/>
  <c r="B32" i="9"/>
  <c r="G101" i="5"/>
  <c r="G108" i="5"/>
  <c r="C32" i="9" l="1"/>
  <c r="E32" i="9"/>
  <c r="H102" i="5"/>
  <c r="I103" i="5" s="1"/>
  <c r="J104" i="5" s="1"/>
  <c r="K105" i="5" s="1"/>
  <c r="L106" i="5" s="1"/>
  <c r="M107" i="5" s="1"/>
  <c r="N108" i="5" s="1"/>
  <c r="F102" i="5"/>
  <c r="G103" i="5" s="1"/>
  <c r="H109" i="5"/>
  <c r="I110" i="5" s="1"/>
  <c r="J111" i="5" s="1"/>
  <c r="K112" i="5" s="1"/>
  <c r="L113" i="5" s="1"/>
  <c r="M114" i="5" s="1"/>
  <c r="N115" i="5" s="1"/>
  <c r="F109" i="5"/>
  <c r="G110" i="5" s="1"/>
  <c r="D32" i="9" l="1"/>
  <c r="G32" i="9" s="1"/>
  <c r="F32" i="9"/>
  <c r="B33" i="9"/>
  <c r="F104" i="5"/>
  <c r="H104" i="5"/>
  <c r="I105" i="5" s="1"/>
  <c r="J106" i="5" s="1"/>
  <c r="K107" i="5" s="1"/>
  <c r="L108" i="5" s="1"/>
  <c r="M109" i="5" s="1"/>
  <c r="N110" i="5" s="1"/>
  <c r="F111" i="5"/>
  <c r="G112" i="5" s="1"/>
  <c r="H111" i="5"/>
  <c r="I112" i="5" s="1"/>
  <c r="J113" i="5" s="1"/>
  <c r="K114" i="5" s="1"/>
  <c r="L115" i="5" s="1"/>
  <c r="M116" i="5" s="1"/>
  <c r="N117" i="5" s="1"/>
  <c r="C33" i="9" l="1"/>
  <c r="E33" i="9"/>
  <c r="H32" i="9"/>
  <c r="F113" i="5"/>
  <c r="G114" i="5" s="1"/>
  <c r="H113" i="5"/>
  <c r="I114" i="5" s="1"/>
  <c r="J115" i="5" s="1"/>
  <c r="K116" i="5" s="1"/>
  <c r="L117" i="5" s="1"/>
  <c r="M118" i="5" s="1"/>
  <c r="N119" i="5" s="1"/>
  <c r="G105" i="5"/>
  <c r="D33" i="9" l="1"/>
  <c r="G33" i="9" s="1"/>
  <c r="F33" i="9"/>
  <c r="H33" i="9" s="1"/>
  <c r="B34" i="9"/>
  <c r="F115" i="5"/>
  <c r="H115" i="5"/>
  <c r="I116" i="5" s="1"/>
  <c r="J117" i="5" s="1"/>
  <c r="K118" i="5" s="1"/>
  <c r="L119" i="5" s="1"/>
  <c r="M120" i="5" s="1"/>
  <c r="N121" i="5" s="1"/>
  <c r="H106" i="5"/>
  <c r="I107" i="5" s="1"/>
  <c r="J108" i="5" s="1"/>
  <c r="K109" i="5" s="1"/>
  <c r="L110" i="5" s="1"/>
  <c r="M111" i="5" s="1"/>
  <c r="N112" i="5" s="1"/>
  <c r="F106" i="5"/>
  <c r="G107" i="5" s="1"/>
  <c r="C34" i="9" l="1"/>
  <c r="E34" i="9"/>
  <c r="F108" i="5"/>
  <c r="H108" i="5"/>
  <c r="I109" i="5" s="1"/>
  <c r="J110" i="5" s="1"/>
  <c r="K111" i="5" s="1"/>
  <c r="L112" i="5" s="1"/>
  <c r="M113" i="5" s="1"/>
  <c r="N114" i="5" s="1"/>
  <c r="G116" i="5"/>
  <c r="D34" i="9" l="1"/>
  <c r="G34" i="9" s="1"/>
  <c r="F34" i="9"/>
  <c r="H34" i="9" s="1"/>
  <c r="H117" i="5"/>
  <c r="I118" i="5" s="1"/>
  <c r="J119" i="5" s="1"/>
  <c r="K120" i="5" s="1"/>
  <c r="L121" i="5" s="1"/>
  <c r="M122" i="5" s="1"/>
  <c r="N123" i="5" s="1"/>
  <c r="F117" i="5"/>
  <c r="G109" i="5"/>
  <c r="H110" i="5" l="1"/>
  <c r="I111" i="5" s="1"/>
  <c r="J112" i="5" s="1"/>
  <c r="K113" i="5" s="1"/>
  <c r="L114" i="5" s="1"/>
  <c r="M115" i="5" s="1"/>
  <c r="N116" i="5" s="1"/>
  <c r="F110" i="5"/>
  <c r="G118" i="5"/>
  <c r="H119" i="5" l="1"/>
  <c r="I120" i="5" s="1"/>
  <c r="J121" i="5" s="1"/>
  <c r="K122" i="5" s="1"/>
  <c r="L123" i="5" s="1"/>
  <c r="M124" i="5" s="1"/>
  <c r="N125" i="5" s="1"/>
  <c r="F119" i="5"/>
  <c r="G111" i="5"/>
  <c r="H112" i="5" l="1"/>
  <c r="I113" i="5" s="1"/>
  <c r="J114" i="5" s="1"/>
  <c r="K115" i="5" s="1"/>
  <c r="L116" i="5" s="1"/>
  <c r="M117" i="5" s="1"/>
  <c r="N118" i="5" s="1"/>
  <c r="F112" i="5"/>
  <c r="G113" i="5" s="1"/>
  <c r="G120" i="5"/>
  <c r="F114" i="5" l="1"/>
  <c r="H114" i="5"/>
  <c r="I115" i="5" s="1"/>
  <c r="J116" i="5" s="1"/>
  <c r="K117" i="5" s="1"/>
  <c r="L118" i="5" s="1"/>
  <c r="M119" i="5" s="1"/>
  <c r="N120" i="5" s="1"/>
  <c r="H121" i="5"/>
  <c r="I122" i="5" s="1"/>
  <c r="J123" i="5" s="1"/>
  <c r="K124" i="5" s="1"/>
  <c r="L125" i="5" s="1"/>
  <c r="M126" i="5" s="1"/>
  <c r="N127" i="5" s="1"/>
  <c r="F121" i="5"/>
  <c r="G122" i="5" s="1"/>
  <c r="F123" i="5" l="1"/>
  <c r="H123" i="5"/>
  <c r="I124" i="5" s="1"/>
  <c r="J125" i="5" s="1"/>
  <c r="K126" i="5" s="1"/>
  <c r="L127" i="5" s="1"/>
  <c r="M128" i="5" s="1"/>
  <c r="N129" i="5" s="1"/>
  <c r="G115" i="5"/>
  <c r="H116" i="5" l="1"/>
  <c r="I117" i="5" s="1"/>
  <c r="J118" i="5" s="1"/>
  <c r="K119" i="5" s="1"/>
  <c r="L120" i="5" s="1"/>
  <c r="M121" i="5" s="1"/>
  <c r="N122" i="5" s="1"/>
  <c r="F116" i="5"/>
  <c r="G117" i="5" s="1"/>
  <c r="G124" i="5"/>
  <c r="F118" i="5" l="1"/>
  <c r="H118" i="5"/>
  <c r="I119" i="5" s="1"/>
  <c r="J120" i="5" s="1"/>
  <c r="K121" i="5" s="1"/>
  <c r="L122" i="5" s="1"/>
  <c r="M123" i="5" s="1"/>
  <c r="N124" i="5" s="1"/>
  <c r="H125" i="5"/>
  <c r="I126" i="5" s="1"/>
  <c r="J127" i="5" s="1"/>
  <c r="K128" i="5" s="1"/>
  <c r="L129" i="5" s="1"/>
  <c r="M130" i="5" s="1"/>
  <c r="N131" i="5" s="1"/>
  <c r="F125" i="5"/>
  <c r="G126" i="5" s="1"/>
  <c r="F127" i="5" l="1"/>
  <c r="H127" i="5"/>
  <c r="I128" i="5" s="1"/>
  <c r="J129" i="5" s="1"/>
  <c r="K130" i="5" s="1"/>
  <c r="L131" i="5" s="1"/>
  <c r="M132" i="5" s="1"/>
  <c r="N133" i="5" s="1"/>
  <c r="G119" i="5"/>
  <c r="H120" i="5" l="1"/>
  <c r="I121" i="5" s="1"/>
  <c r="J122" i="5" s="1"/>
  <c r="K123" i="5" s="1"/>
  <c r="L124" i="5" s="1"/>
  <c r="M125" i="5" s="1"/>
  <c r="N126" i="5" s="1"/>
  <c r="F120" i="5"/>
  <c r="G128" i="5"/>
  <c r="H129" i="5" l="1"/>
  <c r="I130" i="5" s="1"/>
  <c r="J131" i="5" s="1"/>
  <c r="K132" i="5" s="1"/>
  <c r="L133" i="5" s="1"/>
  <c r="M134" i="5" s="1"/>
  <c r="N135" i="5" s="1"/>
  <c r="F129" i="5"/>
  <c r="G121" i="5"/>
  <c r="H122" i="5" l="1"/>
  <c r="I123" i="5" s="1"/>
  <c r="J124" i="5" s="1"/>
  <c r="K125" i="5" s="1"/>
  <c r="L126" i="5" s="1"/>
  <c r="M127" i="5" s="1"/>
  <c r="N128" i="5" s="1"/>
  <c r="F122" i="5"/>
  <c r="G130" i="5"/>
  <c r="H131" i="5" l="1"/>
  <c r="I132" i="5" s="1"/>
  <c r="J133" i="5" s="1"/>
  <c r="K134" i="5" s="1"/>
  <c r="L135" i="5" s="1"/>
  <c r="M136" i="5" s="1"/>
  <c r="N137" i="5" s="1"/>
  <c r="F131" i="5"/>
  <c r="G132" i="5" s="1"/>
  <c r="G123" i="5"/>
  <c r="F133" i="5" l="1"/>
  <c r="G134" i="5" s="1"/>
  <c r="H133" i="5"/>
  <c r="I134" i="5" s="1"/>
  <c r="J135" i="5" s="1"/>
  <c r="K136" i="5" s="1"/>
  <c r="L137" i="5" s="1"/>
  <c r="M138" i="5" s="1"/>
  <c r="N139" i="5" s="1"/>
  <c r="H124" i="5"/>
  <c r="I125" i="5" s="1"/>
  <c r="J126" i="5" s="1"/>
  <c r="K127" i="5" s="1"/>
  <c r="L128" i="5" s="1"/>
  <c r="M129" i="5" s="1"/>
  <c r="N130" i="5" s="1"/>
  <c r="F124" i="5"/>
  <c r="G125" i="5" s="1"/>
  <c r="F135" i="5" l="1"/>
  <c r="G136" i="5" s="1"/>
  <c r="H135" i="5"/>
  <c r="I136" i="5" s="1"/>
  <c r="J137" i="5" s="1"/>
  <c r="K138" i="5" s="1"/>
  <c r="L139" i="5" s="1"/>
  <c r="M140" i="5" s="1"/>
  <c r="N141" i="5" s="1"/>
  <c r="F126" i="5"/>
  <c r="H126" i="5"/>
  <c r="I127" i="5" s="1"/>
  <c r="J128" i="5" s="1"/>
  <c r="K129" i="5" s="1"/>
  <c r="L130" i="5" s="1"/>
  <c r="M131" i="5" s="1"/>
  <c r="N132" i="5" s="1"/>
  <c r="F137" i="5" l="1"/>
  <c r="H137" i="5"/>
  <c r="I138" i="5" s="1"/>
  <c r="J139" i="5" s="1"/>
  <c r="K140" i="5" s="1"/>
  <c r="L141" i="5" s="1"/>
  <c r="M142" i="5" s="1"/>
  <c r="N143" i="5" s="1"/>
  <c r="G127" i="5"/>
  <c r="H128" i="5" l="1"/>
  <c r="I129" i="5" s="1"/>
  <c r="J130" i="5" s="1"/>
  <c r="K131" i="5" s="1"/>
  <c r="L132" i="5" s="1"/>
  <c r="M133" i="5" s="1"/>
  <c r="N134" i="5" s="1"/>
  <c r="F128" i="5"/>
  <c r="G129" i="5" s="1"/>
  <c r="G138" i="5"/>
  <c r="F130" i="5" l="1"/>
  <c r="H130" i="5"/>
  <c r="I131" i="5" s="1"/>
  <c r="J132" i="5" s="1"/>
  <c r="K133" i="5" s="1"/>
  <c r="L134" i="5" s="1"/>
  <c r="M135" i="5" s="1"/>
  <c r="N136" i="5" s="1"/>
  <c r="H139" i="5"/>
  <c r="I140" i="5" s="1"/>
  <c r="J141" i="5" s="1"/>
  <c r="K142" i="5" s="1"/>
  <c r="L143" i="5" s="1"/>
  <c r="M144" i="5" s="1"/>
  <c r="N145" i="5" s="1"/>
  <c r="F139" i="5"/>
  <c r="G140" i="5" l="1"/>
  <c r="G131" i="5"/>
  <c r="H141" i="5" l="1"/>
  <c r="I142" i="5" s="1"/>
  <c r="J143" i="5" s="1"/>
  <c r="K144" i="5" s="1"/>
  <c r="L145" i="5" s="1"/>
  <c r="M146" i="5" s="1"/>
  <c r="N147" i="5" s="1"/>
  <c r="F141" i="5"/>
  <c r="G142" i="5" s="1"/>
  <c r="H132" i="5"/>
  <c r="I133" i="5" s="1"/>
  <c r="J134" i="5" s="1"/>
  <c r="K135" i="5" s="1"/>
  <c r="L136" i="5" s="1"/>
  <c r="M137" i="5" s="1"/>
  <c r="N138" i="5" s="1"/>
  <c r="F132" i="5"/>
  <c r="F143" i="5" l="1"/>
  <c r="H143" i="5"/>
  <c r="I144" i="5" s="1"/>
  <c r="J145" i="5" s="1"/>
  <c r="K146" i="5" s="1"/>
  <c r="L147" i="5" s="1"/>
  <c r="M148" i="5" s="1"/>
  <c r="N149" i="5" s="1"/>
  <c r="G133" i="5"/>
  <c r="H134" i="5" l="1"/>
  <c r="I135" i="5" s="1"/>
  <c r="J136" i="5" s="1"/>
  <c r="K137" i="5" s="1"/>
  <c r="L138" i="5" s="1"/>
  <c r="M139" i="5" s="1"/>
  <c r="N140" i="5" s="1"/>
  <c r="F134" i="5"/>
  <c r="G135" i="5" s="1"/>
  <c r="G144" i="5"/>
  <c r="F136" i="5" l="1"/>
  <c r="H136" i="5"/>
  <c r="I137" i="5" s="1"/>
  <c r="J138" i="5" s="1"/>
  <c r="K139" i="5" s="1"/>
  <c r="L140" i="5" s="1"/>
  <c r="M141" i="5" s="1"/>
  <c r="N142" i="5" s="1"/>
  <c r="H145" i="5"/>
  <c r="I146" i="5" s="1"/>
  <c r="J147" i="5" s="1"/>
  <c r="K148" i="5" s="1"/>
  <c r="L149" i="5" s="1"/>
  <c r="M150" i="5" s="1"/>
  <c r="N151" i="5" s="1"/>
  <c r="F145" i="5"/>
  <c r="G146" i="5" s="1"/>
  <c r="F147" i="5" l="1"/>
  <c r="H147" i="5"/>
  <c r="I148" i="5" s="1"/>
  <c r="J149" i="5" s="1"/>
  <c r="K150" i="5" s="1"/>
  <c r="L151" i="5" s="1"/>
  <c r="M152" i="5" s="1"/>
  <c r="N153" i="5" s="1"/>
  <c r="G137" i="5"/>
  <c r="H138" i="5" l="1"/>
  <c r="I139" i="5" s="1"/>
  <c r="J140" i="5" s="1"/>
  <c r="K141" i="5" s="1"/>
  <c r="L142" i="5" s="1"/>
  <c r="M143" i="5" s="1"/>
  <c r="N144" i="5" s="1"/>
  <c r="F138" i="5"/>
  <c r="G139" i="5" s="1"/>
  <c r="G148" i="5"/>
  <c r="F140" i="5" l="1"/>
  <c r="H140" i="5"/>
  <c r="I141" i="5" s="1"/>
  <c r="J142" i="5" s="1"/>
  <c r="K143" i="5" s="1"/>
  <c r="L144" i="5" s="1"/>
  <c r="M145" i="5" s="1"/>
  <c r="N146" i="5" s="1"/>
  <c r="H149" i="5"/>
  <c r="I150" i="5" s="1"/>
  <c r="J151" i="5" s="1"/>
  <c r="K152" i="5" s="1"/>
  <c r="L153" i="5" s="1"/>
  <c r="M154" i="5" s="1"/>
  <c r="N155" i="5" s="1"/>
  <c r="F149" i="5"/>
  <c r="G150" i="5" s="1"/>
  <c r="F151" i="5" l="1"/>
  <c r="H151" i="5"/>
  <c r="I152" i="5" s="1"/>
  <c r="J153" i="5" s="1"/>
  <c r="K154" i="5" s="1"/>
  <c r="L155" i="5" s="1"/>
  <c r="M156" i="5" s="1"/>
  <c r="N157" i="5" s="1"/>
  <c r="G141" i="5"/>
  <c r="H142" i="5" l="1"/>
  <c r="I143" i="5" s="1"/>
  <c r="J144" i="5" s="1"/>
  <c r="K145" i="5" s="1"/>
  <c r="L146" i="5" s="1"/>
  <c r="M147" i="5" s="1"/>
  <c r="N148" i="5" s="1"/>
  <c r="F142" i="5"/>
  <c r="G143" i="5" s="1"/>
  <c r="G152" i="5"/>
  <c r="F144" i="5" l="1"/>
  <c r="H144" i="5"/>
  <c r="I145" i="5" s="1"/>
  <c r="J146" i="5" s="1"/>
  <c r="K147" i="5" s="1"/>
  <c r="L148" i="5" s="1"/>
  <c r="M149" i="5" s="1"/>
  <c r="N150" i="5" s="1"/>
  <c r="H153" i="5"/>
  <c r="I154" i="5" s="1"/>
  <c r="J155" i="5" s="1"/>
  <c r="K156" i="5" s="1"/>
  <c r="L157" i="5" s="1"/>
  <c r="M158" i="5" s="1"/>
  <c r="N159" i="5" s="1"/>
  <c r="F153" i="5"/>
  <c r="G154" i="5" l="1"/>
  <c r="G145" i="5"/>
  <c r="H155" i="5" l="1"/>
  <c r="I156" i="5" s="1"/>
  <c r="J157" i="5" s="1"/>
  <c r="K158" i="5" s="1"/>
  <c r="L159" i="5" s="1"/>
  <c r="M160" i="5" s="1"/>
  <c r="N161" i="5" s="1"/>
  <c r="F155" i="5"/>
  <c r="G156" i="5" s="1"/>
  <c r="H146" i="5"/>
  <c r="I147" i="5" s="1"/>
  <c r="J148" i="5" s="1"/>
  <c r="K149" i="5" s="1"/>
  <c r="L150" i="5" s="1"/>
  <c r="M151" i="5" s="1"/>
  <c r="N152" i="5" s="1"/>
  <c r="F146" i="5"/>
  <c r="G147" i="5" s="1"/>
  <c r="F157" i="5" l="1"/>
  <c r="H157" i="5"/>
  <c r="I158" i="5" s="1"/>
  <c r="J159" i="5" s="1"/>
  <c r="K160" i="5" s="1"/>
  <c r="L161" i="5" s="1"/>
  <c r="M162" i="5" s="1"/>
  <c r="N163" i="5" s="1"/>
  <c r="F148" i="5"/>
  <c r="H148" i="5"/>
  <c r="I149" i="5" s="1"/>
  <c r="J150" i="5" s="1"/>
  <c r="K151" i="5" s="1"/>
  <c r="L152" i="5" s="1"/>
  <c r="M153" i="5" s="1"/>
  <c r="N154" i="5" s="1"/>
  <c r="G158" i="5" l="1"/>
  <c r="G149" i="5"/>
  <c r="H159" i="5" l="1"/>
  <c r="I160" i="5" s="1"/>
  <c r="J161" i="5" s="1"/>
  <c r="K162" i="5" s="1"/>
  <c r="L163" i="5" s="1"/>
  <c r="M164" i="5" s="1"/>
  <c r="N165" i="5" s="1"/>
  <c r="F159" i="5"/>
  <c r="H150" i="5"/>
  <c r="I151" i="5" s="1"/>
  <c r="J152" i="5" s="1"/>
  <c r="K153" i="5" s="1"/>
  <c r="L154" i="5" s="1"/>
  <c r="M155" i="5" s="1"/>
  <c r="N156" i="5" s="1"/>
  <c r="F150" i="5"/>
  <c r="G151" i="5" s="1"/>
  <c r="F152" i="5" l="1"/>
  <c r="H152" i="5"/>
  <c r="I153" i="5" s="1"/>
  <c r="J154" i="5" s="1"/>
  <c r="K155" i="5" s="1"/>
  <c r="L156" i="5" s="1"/>
  <c r="M157" i="5" s="1"/>
  <c r="N158" i="5" s="1"/>
  <c r="G160" i="5"/>
  <c r="H161" i="5" l="1"/>
  <c r="I162" i="5" s="1"/>
  <c r="J163" i="5" s="1"/>
  <c r="K164" i="5" s="1"/>
  <c r="L165" i="5" s="1"/>
  <c r="M166" i="5" s="1"/>
  <c r="N167" i="5" s="1"/>
  <c r="F161" i="5"/>
  <c r="G162" i="5" s="1"/>
  <c r="G153" i="5"/>
  <c r="F163" i="5" l="1"/>
  <c r="H163" i="5"/>
  <c r="I164" i="5" s="1"/>
  <c r="J165" i="5" s="1"/>
  <c r="K166" i="5" s="1"/>
  <c r="L167" i="5" s="1"/>
  <c r="M168" i="5" s="1"/>
  <c r="N169" i="5" s="1"/>
  <c r="H154" i="5"/>
  <c r="I155" i="5" s="1"/>
  <c r="J156" i="5" s="1"/>
  <c r="K157" i="5" s="1"/>
  <c r="L158" i="5" s="1"/>
  <c r="M159" i="5" s="1"/>
  <c r="N160" i="5" s="1"/>
  <c r="F154" i="5"/>
  <c r="G155" i="5" s="1"/>
  <c r="F156" i="5" l="1"/>
  <c r="G157" i="5" s="1"/>
  <c r="H156" i="5"/>
  <c r="I157" i="5" s="1"/>
  <c r="J158" i="5" s="1"/>
  <c r="K159" i="5" s="1"/>
  <c r="L160" i="5" s="1"/>
  <c r="M161" i="5" s="1"/>
  <c r="N162" i="5" s="1"/>
  <c r="G164" i="5"/>
  <c r="F158" i="5" l="1"/>
  <c r="H158" i="5"/>
  <c r="I159" i="5" s="1"/>
  <c r="J160" i="5" s="1"/>
  <c r="K161" i="5" s="1"/>
  <c r="L162" i="5" s="1"/>
  <c r="M163" i="5" s="1"/>
  <c r="N164" i="5" s="1"/>
  <c r="H165" i="5"/>
  <c r="I166" i="5" s="1"/>
  <c r="J167" i="5" s="1"/>
  <c r="K168" i="5" s="1"/>
  <c r="L169" i="5" s="1"/>
  <c r="M170" i="5" s="1"/>
  <c r="N171" i="5" s="1"/>
  <c r="F165" i="5"/>
  <c r="G166" i="5" s="1"/>
  <c r="F167" i="5" l="1"/>
  <c r="H167" i="5"/>
  <c r="I168" i="5" s="1"/>
  <c r="J169" i="5" s="1"/>
  <c r="K170" i="5" s="1"/>
  <c r="L171" i="5" s="1"/>
  <c r="M172" i="5" s="1"/>
  <c r="N173" i="5" s="1"/>
  <c r="G159" i="5"/>
  <c r="H160" i="5" l="1"/>
  <c r="I161" i="5" s="1"/>
  <c r="J162" i="5" s="1"/>
  <c r="K163" i="5" s="1"/>
  <c r="L164" i="5" s="1"/>
  <c r="M165" i="5" s="1"/>
  <c r="N166" i="5" s="1"/>
  <c r="F160" i="5"/>
  <c r="G168" i="5"/>
  <c r="H169" i="5" l="1"/>
  <c r="I170" i="5" s="1"/>
  <c r="J171" i="5" s="1"/>
  <c r="K172" i="5" s="1"/>
  <c r="L173" i="5" s="1"/>
  <c r="M174" i="5" s="1"/>
  <c r="N175" i="5" s="1"/>
  <c r="F169" i="5"/>
  <c r="G161" i="5"/>
  <c r="H162" i="5" l="1"/>
  <c r="I163" i="5" s="1"/>
  <c r="J164" i="5" s="1"/>
  <c r="K165" i="5" s="1"/>
  <c r="L166" i="5" s="1"/>
  <c r="M167" i="5" s="1"/>
  <c r="N168" i="5" s="1"/>
  <c r="F162" i="5"/>
  <c r="G170" i="5"/>
  <c r="H171" i="5" l="1"/>
  <c r="I172" i="5" s="1"/>
  <c r="J173" i="5" s="1"/>
  <c r="K174" i="5" s="1"/>
  <c r="L175" i="5" s="1"/>
  <c r="M176" i="5" s="1"/>
  <c r="N177" i="5" s="1"/>
  <c r="F171" i="5"/>
  <c r="G163" i="5"/>
  <c r="H164" i="5" l="1"/>
  <c r="I165" i="5" s="1"/>
  <c r="J166" i="5" s="1"/>
  <c r="K167" i="5" s="1"/>
  <c r="L168" i="5" s="1"/>
  <c r="M169" i="5" s="1"/>
  <c r="N170" i="5" s="1"/>
  <c r="F164" i="5"/>
  <c r="G165" i="5" s="1"/>
  <c r="G172" i="5"/>
  <c r="F166" i="5" l="1"/>
  <c r="H166" i="5"/>
  <c r="I167" i="5" s="1"/>
  <c r="J168" i="5" s="1"/>
  <c r="K169" i="5" s="1"/>
  <c r="L170" i="5" s="1"/>
  <c r="M171" i="5" s="1"/>
  <c r="N172" i="5" s="1"/>
  <c r="H173" i="5"/>
  <c r="I174" i="5" s="1"/>
  <c r="J175" i="5" s="1"/>
  <c r="K176" i="5" s="1"/>
  <c r="L177" i="5" s="1"/>
  <c r="M178" i="5" s="1"/>
  <c r="N179" i="5" s="1"/>
  <c r="F173" i="5"/>
  <c r="G174" i="5" s="1"/>
  <c r="F175" i="5" l="1"/>
  <c r="H175" i="5"/>
  <c r="I176" i="5" s="1"/>
  <c r="J177" i="5" s="1"/>
  <c r="K178" i="5" s="1"/>
  <c r="L179" i="5" s="1"/>
  <c r="M180" i="5" s="1"/>
  <c r="N181" i="5" s="1"/>
  <c r="G167" i="5"/>
  <c r="H168" i="5" l="1"/>
  <c r="I169" i="5" s="1"/>
  <c r="J170" i="5" s="1"/>
  <c r="K171" i="5" s="1"/>
  <c r="L172" i="5" s="1"/>
  <c r="M173" i="5" s="1"/>
  <c r="N174" i="5" s="1"/>
  <c r="F168" i="5"/>
  <c r="G176" i="5"/>
  <c r="H177" i="5" l="1"/>
  <c r="I178" i="5" s="1"/>
  <c r="J179" i="5" s="1"/>
  <c r="K180" i="5" s="1"/>
  <c r="L181" i="5" s="1"/>
  <c r="M182" i="5" s="1"/>
  <c r="N183" i="5" s="1"/>
  <c r="F177" i="5"/>
  <c r="G178" i="5" s="1"/>
  <c r="G169" i="5"/>
  <c r="F179" i="5" l="1"/>
  <c r="H179" i="5"/>
  <c r="I180" i="5" s="1"/>
  <c r="J181" i="5" s="1"/>
  <c r="K182" i="5" s="1"/>
  <c r="L183" i="5" s="1"/>
  <c r="M184" i="5" s="1"/>
  <c r="N185" i="5" s="1"/>
  <c r="H170" i="5"/>
  <c r="I171" i="5" s="1"/>
  <c r="J172" i="5" s="1"/>
  <c r="K173" i="5" s="1"/>
  <c r="L174" i="5" s="1"/>
  <c r="M175" i="5" s="1"/>
  <c r="N176" i="5" s="1"/>
  <c r="F170" i="5"/>
  <c r="G171" i="5" s="1"/>
  <c r="F172" i="5" l="1"/>
  <c r="H172" i="5"/>
  <c r="I173" i="5" s="1"/>
  <c r="J174" i="5" s="1"/>
  <c r="K175" i="5" s="1"/>
  <c r="L176" i="5" s="1"/>
  <c r="M177" i="5" s="1"/>
  <c r="N178" i="5" s="1"/>
  <c r="G180" i="5"/>
  <c r="H181" i="5" l="1"/>
  <c r="I182" i="5" s="1"/>
  <c r="J183" i="5" s="1"/>
  <c r="K184" i="5" s="1"/>
  <c r="L185" i="5" s="1"/>
  <c r="M186" i="5" s="1"/>
  <c r="N187" i="5" s="1"/>
  <c r="F181" i="5"/>
  <c r="G173" i="5"/>
  <c r="H174" i="5" l="1"/>
  <c r="I175" i="5" s="1"/>
  <c r="J176" i="5" s="1"/>
  <c r="K177" i="5" s="1"/>
  <c r="L178" i="5" s="1"/>
  <c r="M179" i="5" s="1"/>
  <c r="N180" i="5" s="1"/>
  <c r="F174" i="5"/>
  <c r="G182" i="5"/>
  <c r="H183" i="5" l="1"/>
  <c r="I184" i="5" s="1"/>
  <c r="J185" i="5" s="1"/>
  <c r="K186" i="5" s="1"/>
  <c r="L187" i="5" s="1"/>
  <c r="M188" i="5" s="1"/>
  <c r="N189" i="5" s="1"/>
  <c r="F183" i="5"/>
  <c r="G184" i="5" s="1"/>
  <c r="G175" i="5"/>
  <c r="F185" i="5" l="1"/>
  <c r="H185" i="5"/>
  <c r="I186" i="5" s="1"/>
  <c r="J187" i="5" s="1"/>
  <c r="K188" i="5" s="1"/>
  <c r="L189" i="5" s="1"/>
  <c r="M190" i="5" s="1"/>
  <c r="N191" i="5" s="1"/>
  <c r="H176" i="5"/>
  <c r="I177" i="5" s="1"/>
  <c r="J178" i="5" s="1"/>
  <c r="K179" i="5" s="1"/>
  <c r="L180" i="5" s="1"/>
  <c r="M181" i="5" s="1"/>
  <c r="N182" i="5" s="1"/>
  <c r="F176" i="5"/>
  <c r="G177" i="5" s="1"/>
  <c r="F178" i="5" l="1"/>
  <c r="H178" i="5"/>
  <c r="I179" i="5" s="1"/>
  <c r="J180" i="5" s="1"/>
  <c r="K181" i="5" s="1"/>
  <c r="L182" i="5" s="1"/>
  <c r="M183" i="5" s="1"/>
  <c r="N184" i="5" s="1"/>
  <c r="G186" i="5"/>
  <c r="H187" i="5" l="1"/>
  <c r="I188" i="5" s="1"/>
  <c r="J189" i="5" s="1"/>
  <c r="K190" i="5" s="1"/>
  <c r="L191" i="5" s="1"/>
  <c r="M192" i="5" s="1"/>
  <c r="N193" i="5" s="1"/>
  <c r="F187" i="5"/>
  <c r="G188" i="5" s="1"/>
  <c r="G179" i="5"/>
  <c r="F189" i="5" l="1"/>
  <c r="H189" i="5"/>
  <c r="I190" i="5" s="1"/>
  <c r="J191" i="5" s="1"/>
  <c r="K192" i="5" s="1"/>
  <c r="L193" i="5" s="1"/>
  <c r="M194" i="5" s="1"/>
  <c r="N195" i="5" s="1"/>
  <c r="H180" i="5"/>
  <c r="I181" i="5" s="1"/>
  <c r="J182" i="5" s="1"/>
  <c r="K183" i="5" s="1"/>
  <c r="L184" i="5" s="1"/>
  <c r="M185" i="5" s="1"/>
  <c r="N186" i="5" s="1"/>
  <c r="F180" i="5"/>
  <c r="G181" i="5" l="1"/>
  <c r="G190" i="5"/>
  <c r="H182" i="5" l="1"/>
  <c r="I183" i="5" s="1"/>
  <c r="J184" i="5" s="1"/>
  <c r="K185" i="5" s="1"/>
  <c r="L186" i="5" s="1"/>
  <c r="M187" i="5" s="1"/>
  <c r="N188" i="5" s="1"/>
  <c r="F182" i="5"/>
  <c r="H191" i="5"/>
  <c r="I192" i="5" s="1"/>
  <c r="J193" i="5" s="1"/>
  <c r="K194" i="5" s="1"/>
  <c r="L195" i="5" s="1"/>
  <c r="M196" i="5" s="1"/>
  <c r="N197" i="5" s="1"/>
  <c r="F191" i="5"/>
  <c r="G192" i="5" s="1"/>
  <c r="F193" i="5" l="1"/>
  <c r="H193" i="5"/>
  <c r="I194" i="5" s="1"/>
  <c r="J195" i="5" s="1"/>
  <c r="K196" i="5" s="1"/>
  <c r="L197" i="5" s="1"/>
  <c r="M198" i="5" s="1"/>
  <c r="N199" i="5" s="1"/>
  <c r="G183" i="5"/>
  <c r="H184" i="5" l="1"/>
  <c r="I185" i="5" s="1"/>
  <c r="J186" i="5" s="1"/>
  <c r="K187" i="5" s="1"/>
  <c r="L188" i="5" s="1"/>
  <c r="M189" i="5" s="1"/>
  <c r="N190" i="5" s="1"/>
  <c r="F184" i="5"/>
  <c r="G194" i="5"/>
  <c r="H195" i="5" l="1"/>
  <c r="I196" i="5" s="1"/>
  <c r="J197" i="5" s="1"/>
  <c r="K198" i="5" s="1"/>
  <c r="L199" i="5" s="1"/>
  <c r="M200" i="5" s="1"/>
  <c r="N201" i="5" s="1"/>
  <c r="F195" i="5"/>
  <c r="G196" i="5" s="1"/>
  <c r="G185" i="5"/>
  <c r="F197" i="5" l="1"/>
  <c r="G198" i="5" s="1"/>
  <c r="H197" i="5"/>
  <c r="I198" i="5" s="1"/>
  <c r="J199" i="5" s="1"/>
  <c r="K200" i="5" s="1"/>
  <c r="L201" i="5" s="1"/>
  <c r="M202" i="5" s="1"/>
  <c r="N203" i="5" s="1"/>
  <c r="H186" i="5"/>
  <c r="I187" i="5" s="1"/>
  <c r="J188" i="5" s="1"/>
  <c r="K189" i="5" s="1"/>
  <c r="L190" i="5" s="1"/>
  <c r="M191" i="5" s="1"/>
  <c r="N192" i="5" s="1"/>
  <c r="F186" i="5"/>
  <c r="G187" i="5" s="1"/>
  <c r="F199" i="5" l="1"/>
  <c r="H199" i="5"/>
  <c r="I200" i="5" s="1"/>
  <c r="J201" i="5" s="1"/>
  <c r="K202" i="5" s="1"/>
  <c r="L203" i="5" s="1"/>
  <c r="M204" i="5" s="1"/>
  <c r="N205" i="5" s="1"/>
  <c r="F188" i="5"/>
  <c r="H188" i="5"/>
  <c r="I189" i="5" s="1"/>
  <c r="J190" i="5" s="1"/>
  <c r="K191" i="5" s="1"/>
  <c r="L192" i="5" s="1"/>
  <c r="M193" i="5" s="1"/>
  <c r="N194" i="5" s="1"/>
  <c r="G189" i="5" l="1"/>
  <c r="G200" i="5"/>
  <c r="H190" i="5" l="1"/>
  <c r="I191" i="5" s="1"/>
  <c r="J192" i="5" s="1"/>
  <c r="K193" i="5" s="1"/>
  <c r="L194" i="5" s="1"/>
  <c r="M195" i="5" s="1"/>
  <c r="N196" i="5" s="1"/>
  <c r="F190" i="5"/>
  <c r="H201" i="5"/>
  <c r="I202" i="5" s="1"/>
  <c r="J203" i="5" s="1"/>
  <c r="K204" i="5" s="1"/>
  <c r="L205" i="5" s="1"/>
  <c r="M206" i="5" s="1"/>
  <c r="N207" i="5" s="1"/>
  <c r="F201" i="5"/>
  <c r="G202" i="5" s="1"/>
  <c r="F203" i="5" l="1"/>
  <c r="H203" i="5"/>
  <c r="I204" i="5" s="1"/>
  <c r="J205" i="5" s="1"/>
  <c r="K206" i="5" s="1"/>
  <c r="L207" i="5" s="1"/>
  <c r="M208" i="5" s="1"/>
  <c r="N209" i="5" s="1"/>
  <c r="G191" i="5"/>
  <c r="H192" i="5" l="1"/>
  <c r="I193" i="5" s="1"/>
  <c r="J194" i="5" s="1"/>
  <c r="K195" i="5" s="1"/>
  <c r="L196" i="5" s="1"/>
  <c r="M197" i="5" s="1"/>
  <c r="N198" i="5" s="1"/>
  <c r="F192" i="5"/>
  <c r="G193" i="5" s="1"/>
  <c r="G204" i="5"/>
  <c r="F194" i="5" l="1"/>
  <c r="H194" i="5"/>
  <c r="I195" i="5" s="1"/>
  <c r="J196" i="5" s="1"/>
  <c r="K197" i="5" s="1"/>
  <c r="L198" i="5" s="1"/>
  <c r="M199" i="5" s="1"/>
  <c r="N200" i="5" s="1"/>
  <c r="H205" i="5"/>
  <c r="I206" i="5" s="1"/>
  <c r="J207" i="5" s="1"/>
  <c r="K208" i="5" s="1"/>
  <c r="L209" i="5" s="1"/>
  <c r="M210" i="5" s="1"/>
  <c r="N211" i="5" s="1"/>
  <c r="F205" i="5"/>
  <c r="G206" i="5" s="1"/>
  <c r="F207" i="5" l="1"/>
  <c r="H207" i="5"/>
  <c r="I208" i="5" s="1"/>
  <c r="J209" i="5" s="1"/>
  <c r="K210" i="5" s="1"/>
  <c r="L211" i="5" s="1"/>
  <c r="M212" i="5" s="1"/>
  <c r="N213" i="5" s="1"/>
  <c r="G195" i="5"/>
  <c r="F196" i="5" l="1"/>
  <c r="H196" i="5"/>
  <c r="I197" i="5" s="1"/>
  <c r="J198" i="5" s="1"/>
  <c r="K199" i="5" s="1"/>
  <c r="L200" i="5" s="1"/>
  <c r="M201" i="5" s="1"/>
  <c r="N202" i="5" s="1"/>
  <c r="G208" i="5"/>
  <c r="H209" i="5" l="1"/>
  <c r="I210" i="5" s="1"/>
  <c r="J211" i="5" s="1"/>
  <c r="K212" i="5" s="1"/>
  <c r="L213" i="5" s="1"/>
  <c r="M214" i="5" s="1"/>
  <c r="N215" i="5" s="1"/>
  <c r="F209" i="5"/>
  <c r="G210" i="5" s="1"/>
  <c r="G197" i="5"/>
  <c r="F211" i="5" l="1"/>
  <c r="H211" i="5"/>
  <c r="I212" i="5" s="1"/>
  <c r="J213" i="5" s="1"/>
  <c r="K214" i="5" s="1"/>
  <c r="L215" i="5" s="1"/>
  <c r="M216" i="5" s="1"/>
  <c r="N217" i="5" s="1"/>
  <c r="H198" i="5"/>
  <c r="I199" i="5" s="1"/>
  <c r="J200" i="5" s="1"/>
  <c r="K201" i="5" s="1"/>
  <c r="L202" i="5" s="1"/>
  <c r="M203" i="5" s="1"/>
  <c r="N204" i="5" s="1"/>
  <c r="F198" i="5"/>
  <c r="G199" i="5" s="1"/>
  <c r="F200" i="5" l="1"/>
  <c r="H200" i="5"/>
  <c r="I201" i="5" s="1"/>
  <c r="J202" i="5" s="1"/>
  <c r="K203" i="5" s="1"/>
  <c r="L204" i="5" s="1"/>
  <c r="M205" i="5" s="1"/>
  <c r="N206" i="5" s="1"/>
  <c r="G212" i="5"/>
  <c r="H213" i="5" l="1"/>
  <c r="I214" i="5" s="1"/>
  <c r="J215" i="5" s="1"/>
  <c r="K216" i="5" s="1"/>
  <c r="L217" i="5" s="1"/>
  <c r="M218" i="5" s="1"/>
  <c r="N219" i="5" s="1"/>
  <c r="F213" i="5"/>
  <c r="G201" i="5"/>
  <c r="H202" i="5" l="1"/>
  <c r="I203" i="5" s="1"/>
  <c r="J204" i="5" s="1"/>
  <c r="K205" i="5" s="1"/>
  <c r="L206" i="5" s="1"/>
  <c r="M207" i="5" s="1"/>
  <c r="N208" i="5" s="1"/>
  <c r="F202" i="5"/>
  <c r="G203" i="5" s="1"/>
  <c r="G214" i="5"/>
  <c r="F204" i="5" l="1"/>
  <c r="H204" i="5"/>
  <c r="I205" i="5" s="1"/>
  <c r="J206" i="5" s="1"/>
  <c r="K207" i="5" s="1"/>
  <c r="L208" i="5" s="1"/>
  <c r="M209" i="5" s="1"/>
  <c r="N210" i="5" s="1"/>
  <c r="H215" i="5"/>
  <c r="I216" i="5" s="1"/>
  <c r="J217" i="5" s="1"/>
  <c r="K218" i="5" s="1"/>
  <c r="L219" i="5" s="1"/>
  <c r="M220" i="5" s="1"/>
  <c r="N221" i="5" s="1"/>
  <c r="F215" i="5"/>
  <c r="G216" i="5" s="1"/>
  <c r="F217" i="5" l="1"/>
  <c r="H217" i="5"/>
  <c r="I218" i="5" s="1"/>
  <c r="J219" i="5" s="1"/>
  <c r="K220" i="5" s="1"/>
  <c r="L221" i="5" s="1"/>
  <c r="M222" i="5" s="1"/>
  <c r="N223" i="5" s="1"/>
  <c r="G205" i="5"/>
  <c r="H206" i="5" l="1"/>
  <c r="I207" i="5" s="1"/>
  <c r="J208" i="5" s="1"/>
  <c r="K209" i="5" s="1"/>
  <c r="L210" i="5" s="1"/>
  <c r="M211" i="5" s="1"/>
  <c r="N212" i="5" s="1"/>
  <c r="F206" i="5"/>
  <c r="G207" i="5" s="1"/>
  <c r="G218" i="5"/>
  <c r="F208" i="5" l="1"/>
  <c r="G209" i="5" s="1"/>
  <c r="H208" i="5"/>
  <c r="I209" i="5" s="1"/>
  <c r="J210" i="5" s="1"/>
  <c r="K211" i="5" s="1"/>
  <c r="L212" i="5" s="1"/>
  <c r="M213" i="5" s="1"/>
  <c r="N214" i="5" s="1"/>
  <c r="H219" i="5"/>
  <c r="I220" i="5" s="1"/>
  <c r="J221" i="5" s="1"/>
  <c r="K222" i="5" s="1"/>
  <c r="L223" i="5" s="1"/>
  <c r="M224" i="5" s="1"/>
  <c r="N225" i="5" s="1"/>
  <c r="F219" i="5"/>
  <c r="G220" i="5" s="1"/>
  <c r="F210" i="5" l="1"/>
  <c r="H210" i="5"/>
  <c r="I211" i="5" s="1"/>
  <c r="J212" i="5" s="1"/>
  <c r="K213" i="5" s="1"/>
  <c r="L214" i="5" s="1"/>
  <c r="M215" i="5" s="1"/>
  <c r="N216" i="5" s="1"/>
  <c r="F221" i="5"/>
  <c r="H221" i="5"/>
  <c r="I222" i="5" s="1"/>
  <c r="J223" i="5" s="1"/>
  <c r="K224" i="5" s="1"/>
  <c r="L225" i="5" s="1"/>
  <c r="M226" i="5" s="1"/>
  <c r="N227" i="5" s="1"/>
  <c r="G211" i="5" l="1"/>
  <c r="G222" i="5"/>
  <c r="H212" i="5" l="1"/>
  <c r="I213" i="5" s="1"/>
  <c r="J214" i="5" s="1"/>
  <c r="K215" i="5" s="1"/>
  <c r="L216" i="5" s="1"/>
  <c r="M217" i="5" s="1"/>
  <c r="N218" i="5" s="1"/>
  <c r="F212" i="5"/>
  <c r="H223" i="5"/>
  <c r="I224" i="5" s="1"/>
  <c r="J225" i="5" s="1"/>
  <c r="K226" i="5" s="1"/>
  <c r="L227" i="5" s="1"/>
  <c r="M228" i="5" s="1"/>
  <c r="N229" i="5" s="1"/>
  <c r="F223" i="5"/>
  <c r="G224" i="5" s="1"/>
  <c r="F225" i="5" l="1"/>
  <c r="H225" i="5"/>
  <c r="I226" i="5" s="1"/>
  <c r="J227" i="5" s="1"/>
  <c r="K228" i="5" s="1"/>
  <c r="L229" i="5" s="1"/>
  <c r="M230" i="5" s="1"/>
  <c r="N231" i="5" s="1"/>
  <c r="G213" i="5"/>
  <c r="H214" i="5" l="1"/>
  <c r="I215" i="5" s="1"/>
  <c r="J216" i="5" s="1"/>
  <c r="K217" i="5" s="1"/>
  <c r="L218" i="5" s="1"/>
  <c r="M219" i="5" s="1"/>
  <c r="N220" i="5" s="1"/>
  <c r="F214" i="5"/>
  <c r="G215" i="5" s="1"/>
  <c r="G226" i="5"/>
  <c r="F216" i="5" l="1"/>
  <c r="H216" i="5"/>
  <c r="I217" i="5" s="1"/>
  <c r="J218" i="5" s="1"/>
  <c r="K219" i="5" s="1"/>
  <c r="L220" i="5" s="1"/>
  <c r="M221" i="5" s="1"/>
  <c r="N222" i="5" s="1"/>
  <c r="H227" i="5"/>
  <c r="I228" i="5" s="1"/>
  <c r="J229" i="5" s="1"/>
  <c r="K230" i="5" s="1"/>
  <c r="L231" i="5" s="1"/>
  <c r="M232" i="5" s="1"/>
  <c r="N233" i="5" s="1"/>
  <c r="F227" i="5"/>
  <c r="G228" i="5" l="1"/>
  <c r="G217" i="5"/>
  <c r="H229" i="5" l="1"/>
  <c r="I230" i="5" s="1"/>
  <c r="J231" i="5" s="1"/>
  <c r="K232" i="5" s="1"/>
  <c r="L233" i="5" s="1"/>
  <c r="M234" i="5" s="1"/>
  <c r="F229" i="5"/>
  <c r="G230" i="5" s="1"/>
  <c r="H218" i="5"/>
  <c r="I219" i="5" s="1"/>
  <c r="J220" i="5" s="1"/>
  <c r="K221" i="5" s="1"/>
  <c r="L222" i="5" s="1"/>
  <c r="M223" i="5" s="1"/>
  <c r="N224" i="5" s="1"/>
  <c r="F218" i="5"/>
  <c r="F231" i="5" l="1"/>
  <c r="H231" i="5"/>
  <c r="I232" i="5" s="1"/>
  <c r="J233" i="5" s="1"/>
  <c r="K234" i="5" s="1"/>
  <c r="G219" i="5"/>
  <c r="H220" i="5" l="1"/>
  <c r="I221" i="5" s="1"/>
  <c r="J222" i="5" s="1"/>
  <c r="K223" i="5" s="1"/>
  <c r="L224" i="5" s="1"/>
  <c r="M225" i="5" s="1"/>
  <c r="N226" i="5" s="1"/>
  <c r="F220" i="5"/>
  <c r="G221" i="5" s="1"/>
  <c r="G232" i="5"/>
  <c r="H222" i="5" l="1"/>
  <c r="I223" i="5" s="1"/>
  <c r="J224" i="5" s="1"/>
  <c r="K225" i="5" s="1"/>
  <c r="L226" i="5" s="1"/>
  <c r="M227" i="5" s="1"/>
  <c r="N228" i="5" s="1"/>
  <c r="F222" i="5"/>
  <c r="G223" i="5" s="1"/>
  <c r="H233" i="5"/>
  <c r="I234" i="5" s="1"/>
  <c r="F233" i="5"/>
  <c r="G234" i="5" s="1"/>
  <c r="F224" i="5" l="1"/>
  <c r="G225" i="5" s="1"/>
  <c r="H224" i="5"/>
  <c r="I225" i="5" s="1"/>
  <c r="J226" i="5" s="1"/>
  <c r="K227" i="5" s="1"/>
  <c r="L228" i="5" s="1"/>
  <c r="M229" i="5" s="1"/>
  <c r="N230" i="5" s="1"/>
  <c r="F226" i="5" l="1"/>
  <c r="H226" i="5"/>
  <c r="I227" i="5" s="1"/>
  <c r="J228" i="5" s="1"/>
  <c r="K229" i="5" s="1"/>
  <c r="L230" i="5" s="1"/>
  <c r="M231" i="5" s="1"/>
  <c r="N232" i="5" s="1"/>
  <c r="G227" i="5" l="1"/>
  <c r="H228" i="5" l="1"/>
  <c r="I229" i="5" s="1"/>
  <c r="J230" i="5" s="1"/>
  <c r="K231" i="5" s="1"/>
  <c r="L232" i="5" s="1"/>
  <c r="M233" i="5" s="1"/>
  <c r="N234" i="5" s="1"/>
  <c r="F228" i="5"/>
  <c r="G229" i="5" l="1"/>
  <c r="H230" i="5" l="1"/>
  <c r="I231" i="5" s="1"/>
  <c r="J232" i="5" s="1"/>
  <c r="K233" i="5" s="1"/>
  <c r="L234" i="5" s="1"/>
  <c r="F230" i="5"/>
  <c r="G231" i="5" l="1"/>
  <c r="H232" i="5" l="1"/>
  <c r="I233" i="5" s="1"/>
  <c r="J234" i="5" s="1"/>
  <c r="F232" i="5"/>
  <c r="G233" i="5" l="1"/>
  <c r="H234" i="5" l="1"/>
  <c r="F234" i="5"/>
  <c r="C3" i="1" l="1"/>
  <c r="C4" i="1"/>
  <c r="P3" i="1"/>
  <c r="O3" i="1"/>
  <c r="D3" i="1"/>
  <c r="E3" i="1"/>
  <c r="C5" i="1"/>
  <c r="O4" i="1"/>
  <c r="F3" i="1"/>
  <c r="G3" i="1"/>
  <c r="N3" i="1"/>
  <c r="F4" i="1"/>
  <c r="H3" i="1"/>
  <c r="N4" i="1"/>
  <c r="E4" i="1"/>
  <c r="M3" i="1"/>
  <c r="D4" i="1"/>
  <c r="H4" i="1"/>
  <c r="G4" i="1"/>
  <c r="M4" i="1"/>
  <c r="D5" i="1"/>
  <c r="P4" i="1"/>
  <c r="F5" i="1"/>
  <c r="E5" i="1"/>
  <c r="H5" i="1"/>
  <c r="G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<sst xmlns="http://schemas.openxmlformats.org/spreadsheetml/2006/main" count="267" uniqueCount="153">
  <si>
    <t>P1(x)=</t>
  </si>
  <si>
    <t>a+bx</t>
  </si>
  <si>
    <t>P1=</t>
  </si>
  <si>
    <t>(30;0,8)</t>
  </si>
  <si>
    <t>T(°C)</t>
  </si>
  <si>
    <t>V(10^-3 Pa.s)</t>
  </si>
  <si>
    <t>P2=</t>
  </si>
  <si>
    <t>(40;0,654)</t>
  </si>
  <si>
    <t>0,8=</t>
  </si>
  <si>
    <t>30b+</t>
  </si>
  <si>
    <t>a</t>
  </si>
  <si>
    <t>0,654=</t>
  </si>
  <si>
    <t>40b+</t>
  </si>
  <si>
    <t>T=</t>
  </si>
  <si>
    <t>V=</t>
  </si>
  <si>
    <t>m1=</t>
  </si>
  <si>
    <t>a0=</t>
  </si>
  <si>
    <t>a1=</t>
  </si>
  <si>
    <t>x=</t>
  </si>
  <si>
    <t>P2(x)=</t>
  </si>
  <si>
    <t>a+bx+cx^2</t>
  </si>
  <si>
    <t>a0</t>
  </si>
  <si>
    <t>a1</t>
  </si>
  <si>
    <t>a2</t>
  </si>
  <si>
    <t>A=</t>
  </si>
  <si>
    <t>m2=</t>
  </si>
  <si>
    <t>m3=</t>
  </si>
  <si>
    <t>A1=</t>
  </si>
  <si>
    <t>A2=</t>
  </si>
  <si>
    <t>A3=</t>
  </si>
  <si>
    <t>t=</t>
  </si>
  <si>
    <t>z=</t>
  </si>
  <si>
    <t>y=</t>
  </si>
  <si>
    <t>x=L/n=16/8=0,2m</t>
  </si>
  <si>
    <t>j</t>
  </si>
  <si>
    <t>t</t>
  </si>
  <si>
    <t>0</t>
  </si>
  <si>
    <t>1</t>
  </si>
  <si>
    <t>2</t>
  </si>
  <si>
    <t>3</t>
  </si>
  <si>
    <t>4</t>
  </si>
  <si>
    <t>5</t>
  </si>
  <si>
    <t>6</t>
  </si>
  <si>
    <t>7</t>
  </si>
  <si>
    <t>8</t>
  </si>
  <si>
    <t>t=(x)^2/2a=(0,2)^2/2*1=0,02s</t>
  </si>
  <si>
    <t>a=k/p*Cp=</t>
  </si>
  <si>
    <t>9</t>
  </si>
  <si>
    <t>10</t>
  </si>
  <si>
    <t>x=3,2 m</t>
  </si>
  <si>
    <t>t=4,86688s</t>
  </si>
  <si>
    <t>n=L/x=32/3,2=10</t>
  </si>
  <si>
    <t>Condiçoes Inicias</t>
  </si>
  <si>
    <t>i</t>
  </si>
  <si>
    <t>xi</t>
  </si>
  <si>
    <t>yi</t>
  </si>
  <si>
    <t>k1</t>
  </si>
  <si>
    <t>k2</t>
  </si>
  <si>
    <t>y'=y</t>
  </si>
  <si>
    <t>y(x0)=1</t>
  </si>
  <si>
    <t>x0=0</t>
  </si>
  <si>
    <t>n=10</t>
  </si>
  <si>
    <t>xn=0,1</t>
  </si>
  <si>
    <t>h=xn-x0/n</t>
  </si>
  <si>
    <t>h=0,1-0/10=0,01</t>
  </si>
  <si>
    <t>k3</t>
  </si>
  <si>
    <t>k4</t>
  </si>
  <si>
    <t>yi(analitica)</t>
  </si>
  <si>
    <t>Erro</t>
  </si>
  <si>
    <t>Condições Iniciais</t>
  </si>
  <si>
    <t>zi</t>
  </si>
  <si>
    <t>l1</t>
  </si>
  <si>
    <t>l2</t>
  </si>
  <si>
    <t>l3</t>
  </si>
  <si>
    <t>l4</t>
  </si>
  <si>
    <t>y0=-1</t>
  </si>
  <si>
    <t>z0=0</t>
  </si>
  <si>
    <t>h=2-0/10=0,2</t>
  </si>
  <si>
    <t>y'i</t>
  </si>
  <si>
    <t>y'=1-2xy</t>
  </si>
  <si>
    <t>yi(numérico)</t>
  </si>
  <si>
    <t>yi(analitico)</t>
  </si>
  <si>
    <t>y0=f(0)=1</t>
  </si>
  <si>
    <t>k</t>
  </si>
  <si>
    <t>x1</t>
  </si>
  <si>
    <t>x2</t>
  </si>
  <si>
    <t>x3</t>
  </si>
  <si>
    <t>e1</t>
  </si>
  <si>
    <t>e2</t>
  </si>
  <si>
    <t>e3</t>
  </si>
  <si>
    <t>e</t>
  </si>
  <si>
    <t>-</t>
  </si>
  <si>
    <t>m</t>
  </si>
  <si>
    <t>T</t>
  </si>
  <si>
    <t>P</t>
  </si>
  <si>
    <t>x=1/T</t>
  </si>
  <si>
    <t>y=ln(P)</t>
  </si>
  <si>
    <t>x.y</t>
  </si>
  <si>
    <t>x^2</t>
  </si>
  <si>
    <t>P^</t>
  </si>
  <si>
    <t>(P-P^)^2</t>
  </si>
  <si>
    <t>(P-P')^2</t>
  </si>
  <si>
    <t>ln(P)=A+B/T</t>
  </si>
  <si>
    <t>P'=</t>
  </si>
  <si>
    <t>y=a+bx</t>
  </si>
  <si>
    <t>St=</t>
  </si>
  <si>
    <t>Sr=</t>
  </si>
  <si>
    <t>R^2=</t>
  </si>
  <si>
    <t>Σ</t>
  </si>
  <si>
    <t>B0</t>
  </si>
  <si>
    <t>B0=</t>
  </si>
  <si>
    <t>B1</t>
  </si>
  <si>
    <t>B1=</t>
  </si>
  <si>
    <t>y=15,25615-2388,73x</t>
  </si>
  <si>
    <t>ln(P)=15,25615-2388,73/T</t>
  </si>
  <si>
    <t>L</t>
  </si>
  <si>
    <t>h</t>
  </si>
  <si>
    <t>L^2</t>
  </si>
  <si>
    <t>L.h</t>
  </si>
  <si>
    <t>x(anos)</t>
  </si>
  <si>
    <t>y(parafumos)</t>
  </si>
  <si>
    <t>(y-y^)^2</t>
  </si>
  <si>
    <t>(y-y')^2</t>
  </si>
  <si>
    <t>y'</t>
  </si>
  <si>
    <t>v</t>
  </si>
  <si>
    <t>d</t>
  </si>
  <si>
    <t>v^2</t>
  </si>
  <si>
    <t>v.d</t>
  </si>
  <si>
    <t>v^3</t>
  </si>
  <si>
    <t>v^4</t>
  </si>
  <si>
    <t>v^2.d</t>
  </si>
  <si>
    <t>Σx</t>
  </si>
  <si>
    <t>Σx^2</t>
  </si>
  <si>
    <t>b0</t>
  </si>
  <si>
    <t>Σy</t>
  </si>
  <si>
    <t>Σx^3</t>
  </si>
  <si>
    <t>b1</t>
  </si>
  <si>
    <t>Σy.x</t>
  </si>
  <si>
    <t>Σx.y</t>
  </si>
  <si>
    <t>Σx^4</t>
  </si>
  <si>
    <t>b2</t>
  </si>
  <si>
    <t>Σy.x^2</t>
  </si>
  <si>
    <t>ΣL</t>
  </si>
  <si>
    <t>Σh</t>
  </si>
  <si>
    <t>ΣL^2</t>
  </si>
  <si>
    <t>Σl.h</t>
  </si>
  <si>
    <t>5b0+10,5b1</t>
  </si>
  <si>
    <t>b0=</t>
  </si>
  <si>
    <t>10,5b0+30,35b1</t>
  </si>
  <si>
    <t>b1=</t>
  </si>
  <si>
    <t>b2=</t>
  </si>
  <si>
    <t>2646,951-289,024x</t>
  </si>
  <si>
    <t>y(8)=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</si>
</sst>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3" x14ac:knownFonts="1">
    <font>
      <sz val="11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64" fontId="0" fillId="0" borderId="0" xfId="0" applyNumberFormat="1"/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0" xfId="0" applyFont="1"/>
    <xf numFmtId="0" fontId="0" fillId="2" borderId="0" xfId="0" applyFill="1"/>
    <xf numFmtId="164" fontId="0" fillId="2" borderId="0" xfId="0" applyNumberFormat="1" applyFill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0" xfId="0" applyAlignment="1">
      <alignment horizontal="center"/>
    </xf>
    <xf numFmtId="165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3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'interpolação linear'!$E$2</c:f>
              <c:strCache>
                <c:ptCount val="1"/>
                <c:pt idx="0">
                  <c:v>V(10^-3 Pa.s)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'interpolação linear'!$D$3:$D$7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xVal>
          <c:yVal>
            <c:numRef>
              <c:f>'interpolação linear'!$E$3:$E$7</c:f>
              <c:numCache>
                <c:formatCode>General</c:formatCode>
                <c:ptCount val="5"/>
                <c:pt idx="0">
                  <c:v>1.2929999999999999</c:v>
                </c:pt>
                <c:pt idx="1">
                  <c:v>1</c:v>
                </c:pt>
                <c:pt idx="2">
                  <c:v>0.8</c:v>
                </c:pt>
                <c:pt idx="3">
                  <c:v>0.65400000000000003</c:v>
                </c:pt>
                <c:pt idx="4">
                  <c:v>0.54600000000000004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C9-48E2-A05B-71DC01F89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4045872"/>
        <c:axId val="764043952"/>
      </c:scatterChart>
      <c:valAx>
        <c:axId val="764045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4043952"/>
        <c:crosses val="autoZero"/>
        <c:crossBetween val="midCat"/>
      </c:valAx>
      <c:valAx>
        <c:axId val="76404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4045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'Interpolação quadrática'!$E$2</c:f>
              <c:strCache>
                <c:ptCount val="1"/>
                <c:pt idx="0">
                  <c:v>V(10^-3 Pa.s)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'Interpolação quadrática'!$D$3:$D$7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xVal>
          <c:yVal>
            <c:numRef>
              <c:f>'Interpolação quadrática'!$E$3:$E$7</c:f>
              <c:numCache>
                <c:formatCode>General</c:formatCode>
                <c:ptCount val="5"/>
                <c:pt idx="0">
                  <c:v>1.2929999999999999</c:v>
                </c:pt>
                <c:pt idx="1">
                  <c:v>1</c:v>
                </c:pt>
                <c:pt idx="2">
                  <c:v>0.8</c:v>
                </c:pt>
                <c:pt idx="3">
                  <c:v>0.65400000000000003</c:v>
                </c:pt>
                <c:pt idx="4">
                  <c:v>0.54600000000000004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A0-4A6E-883A-C20552CDC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4045872"/>
        <c:axId val="764043952"/>
      </c:scatterChart>
      <c:valAx>
        <c:axId val="764045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4043952"/>
        <c:crosses val="autoZero"/>
        <c:crossBetween val="midCat"/>
      </c:valAx>
      <c:valAx>
        <c:axId val="76404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4045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6406389848750919E-2"/>
                  <c:y val="-0.28108079869046054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aseline="0"/>
                      <a:t>y = -289,02x + 2647</a:t>
                    </a:r>
                    <a:endParaRPr lang="en-US" sz="3600"/>
                  </a:p>
                </c:rich>
              </c:tx>
              <c:numFmt formatCode="General" sourceLinked="0"/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3.6241167695764645E-2"/>
                  <c:y val="-0.4086724838651774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'ajuste de curva - aproximação'!$H$2:$H$6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'ajuste de curva - aproximação'!$I$2:$I$6</c:f>
              <c:numCache>
                <c:formatCode>General</c:formatCode>
                <c:ptCount val="5"/>
                <c:pt idx="0">
                  <c:v>2500</c:v>
                </c:pt>
                <c:pt idx="1">
                  <c:v>2400</c:v>
                </c:pt>
                <c:pt idx="2">
                  <c:v>2000</c:v>
                </c:pt>
                <c:pt idx="3">
                  <c:v>1800</c:v>
                </c:pt>
                <c:pt idx="4">
                  <c:v>1500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5AE-465D-9433-49735E3A2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6980656"/>
        <c:axId val="1634179696"/>
      </c:scatterChart>
      <c:valAx>
        <c:axId val="1626980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4179696"/>
        <c:crosses val="autoZero"/>
        <c:crossBetween val="midCat"/>
      </c:valAx>
      <c:valAx>
        <c:axId val="163417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26980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4122703412073485E-2"/>
          <c:y val="0.18097222222222226"/>
          <c:w val="0.87632174103237093"/>
          <c:h val="0.77736111111111106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6.3493219597550304E-2"/>
                  <c:y val="-0.6324671916010499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50" baseline="0">
                        <a:solidFill>
                          <a:schemeClr val="tx1"/>
                        </a:solidFill>
                      </a:rPr>
                      <a:t>y = 0,0193x</a:t>
                    </a:r>
                    <a:r>
                      <a:rPr lang="en-US" sz="1050" baseline="30000">
                        <a:solidFill>
                          <a:schemeClr val="tx1"/>
                        </a:solidFill>
                      </a:rPr>
                      <a:t>2</a:t>
                    </a:r>
                    <a:r>
                      <a:rPr lang="en-US" sz="1050" baseline="0">
                        <a:solidFill>
                          <a:schemeClr val="tx1"/>
                        </a:solidFill>
                      </a:rPr>
                      <a:t> - 6,2903x + 512,12</a:t>
                    </a:r>
                    <a:endParaRPr lang="en-US" sz="1400">
                      <a:solidFill>
                        <a:schemeClr val="tx1"/>
                      </a:solidFill>
                    </a:endParaRPr>
                  </a:p>
                </c:rich>
              </c:tx>
              <c:numFmt formatCode="General" sourceLinked="0"/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'ajuste de curva - aproximação'!$R$2:$R$5</c:f>
              <c:numCache>
                <c:formatCode>General</c:formatCode>
                <c:ptCount val="4"/>
                <c:pt idx="0">
                  <c:v>100</c:v>
                </c:pt>
                <c:pt idx="1">
                  <c:v>120</c:v>
                </c:pt>
                <c:pt idx="2">
                  <c:v>150</c:v>
                </c:pt>
                <c:pt idx="3">
                  <c:v>180</c:v>
                </c:pt>
              </c:numCache>
            </c:numRef>
          </c:xVal>
          <c:yVal>
            <c:numRef>
              <c:f>'ajuste de curva - aproximação'!$S$2:$S$5</c:f>
              <c:numCache>
                <c:formatCode>General</c:formatCode>
                <c:ptCount val="4"/>
                <c:pt idx="0">
                  <c:v>79</c:v>
                </c:pt>
                <c:pt idx="1">
                  <c:v>28</c:v>
                </c:pt>
                <c:pt idx="2">
                  <c:v>7.9</c:v>
                </c:pt>
                <c:pt idx="3">
                  <c:v>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74-496F-B0F7-7670A1109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2668656"/>
        <c:axId val="1682672496"/>
      </c:scatterChart>
      <c:valAx>
        <c:axId val="1682668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2672496"/>
        <c:crosses val="autoZero"/>
        <c:crossBetween val="midCat"/>
      </c:valAx>
      <c:valAx>
        <c:axId val="168267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2668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1</xdr:row>
      <xdr:rowOff>166687</xdr:rowOff>
    </xdr:from>
    <xdr:to>
      <xdr:col>13</xdr:col>
      <xdr:colOff>314325</xdr:colOff>
      <xdr:row>16</xdr:row>
      <xdr:rowOff>52387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97201AE-F007-4176-91C0-9A94B54BA4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542925</xdr:colOff>
      <xdr:row>8</xdr:row>
      <xdr:rowOff>133350</xdr:rowOff>
    </xdr:from>
    <xdr:to>
      <xdr:col>10</xdr:col>
      <xdr:colOff>590550</xdr:colOff>
      <xdr:row>9</xdr:row>
      <xdr:rowOff>161925</xdr:rowOff>
    </xdr:to>
    <xdr:cxnSp macro="">
      <xdr:nvCxnSpPr>
        <xdr:cNvPr id="3" name="Conector reto 3">
          <a:extLst>
            <a:ext uri="{FF2B5EF4-FFF2-40B4-BE49-F238E27FC236}">
              <a16:creationId xmlns:a16="http://schemas.microsoft.com/office/drawing/2014/main" id="{1CE27249-60F3-4020-B45E-A43A3D9C6121}"/>
            </a:ext>
          </a:extLst>
        </xdr:cNvPr>
        <xdr:cNvCxnSpPr/>
      </xdr:nvCxnSpPr>
      <xdr:spPr>
        <a:xfrm>
          <a:off x="6454775" y="1606550"/>
          <a:ext cx="657225" cy="2127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1</xdr:row>
      <xdr:rowOff>166687</xdr:rowOff>
    </xdr:from>
    <xdr:to>
      <xdr:col>13</xdr:col>
      <xdr:colOff>314325</xdr:colOff>
      <xdr:row>16</xdr:row>
      <xdr:rowOff>52387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937F9AE-EF27-4B21-AE35-4A531EBA07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542925</xdr:colOff>
      <xdr:row>8</xdr:row>
      <xdr:rowOff>133350</xdr:rowOff>
    </xdr:from>
    <xdr:to>
      <xdr:col>10</xdr:col>
      <xdr:colOff>590550</xdr:colOff>
      <xdr:row>9</xdr:row>
      <xdr:rowOff>161925</xdr:rowOff>
    </xdr:to>
    <xdr:cxnSp macro="">
      <xdr:nvCxnSpPr>
        <xdr:cNvPr id="3" name="Conector reto 3">
          <a:extLst>
            <a:ext uri="{FF2B5EF4-FFF2-40B4-BE49-F238E27FC236}">
              <a16:creationId xmlns:a16="http://schemas.microsoft.com/office/drawing/2014/main" id="{5AFC7A33-82C7-4B78-BA67-60041AB2160B}"/>
            </a:ext>
          </a:extLst>
        </xdr:cNvPr>
        <xdr:cNvCxnSpPr/>
      </xdr:nvCxnSpPr>
      <xdr:spPr>
        <a:xfrm>
          <a:off x="6454775" y="1606550"/>
          <a:ext cx="657225" cy="2127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552450</xdr:colOff>
      <xdr:row>9</xdr:row>
      <xdr:rowOff>161925</xdr:rowOff>
    </xdr:from>
    <xdr:to>
      <xdr:col>12</xdr:col>
      <xdr:colOff>57150</xdr:colOff>
      <xdr:row>10</xdr:row>
      <xdr:rowOff>133350</xdr:rowOff>
    </xdr:to>
    <xdr:cxnSp macro="">
      <xdr:nvCxnSpPr>
        <xdr:cNvPr id="4" name="Conector reto 8">
          <a:extLst>
            <a:ext uri="{FF2B5EF4-FFF2-40B4-BE49-F238E27FC236}">
              <a16:creationId xmlns:a16="http://schemas.microsoft.com/office/drawing/2014/main" id="{AA268397-0227-4469-8F7E-82A7B9D27F26}"/>
            </a:ext>
          </a:extLst>
        </xdr:cNvPr>
        <xdr:cNvCxnSpPr/>
      </xdr:nvCxnSpPr>
      <xdr:spPr>
        <a:xfrm flipH="1" flipV="1">
          <a:off x="7073900" y="1819275"/>
          <a:ext cx="723900" cy="1555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114300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88CB7AE5-6EB5-4850-B08A-B499635674AE}"/>
            </a:ext>
          </a:extLst>
        </xdr:cNvPr>
        <xdr:cNvSpPr>
          <a:spLocks noChangeAspect="1" noChangeArrowheads="1"/>
        </xdr:cNvSpPr>
      </xdr:nvSpPr>
      <xdr:spPr bwMode="auto">
        <a:xfrm>
          <a:off x="787400" y="38671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114300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CACA12EC-282D-470E-B209-4437B707FF89}"/>
            </a:ext>
          </a:extLst>
        </xdr:cNvPr>
        <xdr:cNvSpPr>
          <a:spLocks noChangeAspect="1" noChangeArrowheads="1"/>
        </xdr:cNvSpPr>
      </xdr:nvSpPr>
      <xdr:spPr bwMode="auto">
        <a:xfrm>
          <a:off x="787400" y="38671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304800</xdr:colOff>
      <xdr:row>26</xdr:row>
      <xdr:rowOff>114300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AEA87C8E-F245-4255-970E-CBF61B49DCDB}"/>
            </a:ext>
          </a:extLst>
        </xdr:cNvPr>
        <xdr:cNvSpPr>
          <a:spLocks noChangeAspect="1" noChangeArrowheads="1"/>
        </xdr:cNvSpPr>
      </xdr:nvSpPr>
      <xdr:spPr bwMode="auto">
        <a:xfrm>
          <a:off x="2006600" y="46037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514350</xdr:colOff>
      <xdr:row>16</xdr:row>
      <xdr:rowOff>33337</xdr:rowOff>
    </xdr:from>
    <xdr:ext cx="65" cy="172227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F8CEF1C2-548A-497F-98EF-F1BA35493E80}"/>
            </a:ext>
          </a:extLst>
        </xdr:cNvPr>
        <xdr:cNvSpPr txBox="1"/>
      </xdr:nvSpPr>
      <xdr:spPr>
        <a:xfrm>
          <a:off x="8229600" y="29797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t-BR" sz="1100"/>
        </a:p>
      </xdr:txBody>
    </xdr:sp>
    <xdr:clientData/>
  </xdr:oneCellAnchor>
  <xdr:twoCellAnchor>
    <xdr:from>
      <xdr:col>6</xdr:col>
      <xdr:colOff>19050</xdr:colOff>
      <xdr:row>16</xdr:row>
      <xdr:rowOff>161925</xdr:rowOff>
    </xdr:from>
    <xdr:to>
      <xdr:col>9</xdr:col>
      <xdr:colOff>28575</xdr:colOff>
      <xdr:row>18</xdr:row>
      <xdr:rowOff>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404491AB-22DD-4CBC-9AA0-F980785DDB37}"/>
            </a:ext>
          </a:extLst>
        </xdr:cNvPr>
        <xdr:cNvSpPr txBox="1"/>
      </xdr:nvSpPr>
      <xdr:spPr>
        <a:xfrm>
          <a:off x="3359150" y="3108325"/>
          <a:ext cx="2555875" cy="206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Sistema Inicial  2x2</a:t>
          </a:r>
        </a:p>
        <a:p>
          <a:endParaRPr lang="pt-BR" sz="1100"/>
        </a:p>
        <a:p>
          <a:endParaRPr lang="pt-BR" sz="1100"/>
        </a:p>
      </xdr:txBody>
    </xdr:sp>
    <xdr:clientData/>
  </xdr:twoCellAnchor>
  <xdr:twoCellAnchor>
    <xdr:from>
      <xdr:col>6</xdr:col>
      <xdr:colOff>9524</xdr:colOff>
      <xdr:row>24</xdr:row>
      <xdr:rowOff>157162</xdr:rowOff>
    </xdr:from>
    <xdr:to>
      <xdr:col>14</xdr:col>
      <xdr:colOff>1123949</xdr:colOff>
      <xdr:row>40</xdr:row>
      <xdr:rowOff>95250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E8EE6CA-4DAC-4015-803E-0A6A1F9B24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33337</xdr:colOff>
      <xdr:row>18</xdr:row>
      <xdr:rowOff>176212</xdr:rowOff>
    </xdr:from>
    <xdr:to>
      <xdr:col>23</xdr:col>
      <xdr:colOff>157162</xdr:colOff>
      <xdr:row>33</xdr:row>
      <xdr:rowOff>61912</xdr:rowOff>
    </xdr:to>
    <xdr:graphicFrame macro="">
      <xdr:nvGraphicFramePr>
        <xdr:cNvPr id="5" name="Gráfico 5">
          <a:extLst>
            <a:ext uri="{FF2B5EF4-FFF2-40B4-BE49-F238E27FC236}">
              <a16:creationId xmlns:a16="http://schemas.microsoft.com/office/drawing/2014/main" id="{AC4AD69D-779A-45FC-85C9-FC930CFD7A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219075</xdr:colOff>
      <xdr:row>10</xdr:row>
      <xdr:rowOff>0</xdr:rowOff>
    </xdr:from>
    <xdr:to>
      <xdr:col>20</xdr:col>
      <xdr:colOff>542925</xdr:colOff>
      <xdr:row>11</xdr:row>
      <xdr:rowOff>0</xdr:rowOff>
    </xdr:to>
    <xdr:sp macro="" textlink="">
      <xdr:nvSpPr>
        <xdr:cNvPr id="6" name="CaixaDeTexto 6">
          <a:extLst>
            <a:ext uri="{FF2B5EF4-FFF2-40B4-BE49-F238E27FC236}">
              <a16:creationId xmlns:a16="http://schemas.microsoft.com/office/drawing/2014/main" id="{02E8F28E-E1AA-469C-B0C7-0A183D108C77}"/>
            </a:ext>
          </a:extLst>
        </xdr:cNvPr>
        <xdr:cNvSpPr txBox="1"/>
      </xdr:nvSpPr>
      <xdr:spPr>
        <a:xfrm>
          <a:off x="10556875" y="1841500"/>
          <a:ext cx="2921000" cy="184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Matriz Inicial  3x3</a:t>
          </a:r>
        </a:p>
        <a:p>
          <a:endParaRPr lang="pt-BR" sz="1100"/>
        </a:p>
      </xdr:txBody>
    </xdr:sp>
    <xdr:clientData/>
  </xdr:twoCellAnchor>
  <xdr:twoCellAnchor>
    <xdr:from>
      <xdr:col>16</xdr:col>
      <xdr:colOff>123825</xdr:colOff>
      <xdr:row>13</xdr:row>
      <xdr:rowOff>171450</xdr:rowOff>
    </xdr:from>
    <xdr:to>
      <xdr:col>19</xdr:col>
      <xdr:colOff>419100</xdr:colOff>
      <xdr:row>15</xdr:row>
      <xdr:rowOff>9525</xdr:rowOff>
    </xdr:to>
    <xdr:sp macro="" textlink="">
      <xdr:nvSpPr>
        <xdr:cNvPr id="7" name="CaixaDeTexto 7">
          <a:extLst>
            <a:ext uri="{FF2B5EF4-FFF2-40B4-BE49-F238E27FC236}">
              <a16:creationId xmlns:a16="http://schemas.microsoft.com/office/drawing/2014/main" id="{0C5220ED-2A22-44B0-A395-1640E419857B}"/>
            </a:ext>
          </a:extLst>
        </xdr:cNvPr>
        <xdr:cNvSpPr txBox="1"/>
      </xdr:nvSpPr>
      <xdr:spPr>
        <a:xfrm>
          <a:off x="10461625" y="2565400"/>
          <a:ext cx="2282825" cy="206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Matriz Inversa  3x3</a:t>
          </a:r>
        </a:p>
        <a:p>
          <a:endParaRPr lang="pt-BR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esen\Downloads\portifolio\Estudos%20Excel\Interpola&#231;&#227;o%20Linear.xlsx" TargetMode="External"/><Relationship Id="rId1" Type="http://schemas.openxmlformats.org/officeDocument/2006/relationships/externalLinkPath" Target="Estudos%20Excel/Interpola&#231;&#227;o%20Linea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esen\Downloads\portifolio\Estudos%20Excel\Interpola&#231;&#227;o%20Quadr&#225;tica.xlsx" TargetMode="External"/><Relationship Id="rId1" Type="http://schemas.openxmlformats.org/officeDocument/2006/relationships/externalLinkPath" Target="Estudos%20Excel/Interpola&#231;&#227;o%20Quadr&#225;tic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esen\Downloads\portifolio\Estudos%20Excel\Ajuste%20de%20Curva%20Aproxima&#231;&#227;o.xlsx" TargetMode="External"/><Relationship Id="rId1" Type="http://schemas.openxmlformats.org/officeDocument/2006/relationships/externalLinkPath" Target="Estudos%20Excel/Ajuste%20de%20Curva%20Aproxima&#231;&#227;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erpolação linear"/>
    </sheetNames>
    <sheetDataSet>
      <sheetData sheetId="0">
        <row r="2">
          <cell r="E2" t="str">
            <v>V(10^-3 Pa.s)</v>
          </cell>
        </row>
        <row r="3">
          <cell r="D3">
            <v>10</v>
          </cell>
          <cell r="E3">
            <v>1.2929999999999999</v>
          </cell>
        </row>
        <row r="4">
          <cell r="D4">
            <v>20</v>
          </cell>
          <cell r="E4">
            <v>1</v>
          </cell>
        </row>
        <row r="5">
          <cell r="D5">
            <v>30</v>
          </cell>
          <cell r="E5">
            <v>0.8</v>
          </cell>
        </row>
        <row r="6">
          <cell r="D6">
            <v>40</v>
          </cell>
          <cell r="E6">
            <v>0.65400000000000003</v>
          </cell>
        </row>
        <row r="7">
          <cell r="D7">
            <v>50</v>
          </cell>
          <cell r="E7">
            <v>0.54600000000000004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erpolação quadrática"/>
    </sheetNames>
    <sheetDataSet>
      <sheetData sheetId="0">
        <row r="2">
          <cell r="E2" t="str">
            <v>V(10^-3 Pa.s)</v>
          </cell>
        </row>
        <row r="3">
          <cell r="D3">
            <v>10</v>
          </cell>
          <cell r="E3">
            <v>1.2929999999999999</v>
          </cell>
        </row>
        <row r="4">
          <cell r="D4">
            <v>20</v>
          </cell>
          <cell r="E4">
            <v>1</v>
          </cell>
        </row>
        <row r="5">
          <cell r="D5">
            <v>30</v>
          </cell>
          <cell r="E5">
            <v>0.8</v>
          </cell>
        </row>
        <row r="6">
          <cell r="D6">
            <v>40</v>
          </cell>
          <cell r="E6">
            <v>0.65400000000000003</v>
          </cell>
        </row>
        <row r="7">
          <cell r="D7">
            <v>50</v>
          </cell>
          <cell r="E7">
            <v>0.54600000000000004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juste de curva - aproximação"/>
    </sheetNames>
    <sheetDataSet>
      <sheetData sheetId="0">
        <row r="2">
          <cell r="H2">
            <v>0.5</v>
          </cell>
          <cell r="I2">
            <v>2500</v>
          </cell>
          <cell r="R2">
            <v>100</v>
          </cell>
          <cell r="S2">
            <v>79</v>
          </cell>
        </row>
        <row r="3">
          <cell r="H3">
            <v>1</v>
          </cell>
          <cell r="I3">
            <v>2400</v>
          </cell>
          <cell r="R3">
            <v>120</v>
          </cell>
          <cell r="S3">
            <v>28</v>
          </cell>
        </row>
        <row r="4">
          <cell r="H4">
            <v>2</v>
          </cell>
          <cell r="I4">
            <v>2000</v>
          </cell>
          <cell r="R4">
            <v>150</v>
          </cell>
          <cell r="S4">
            <v>7.9</v>
          </cell>
        </row>
        <row r="5">
          <cell r="H5">
            <v>3</v>
          </cell>
          <cell r="I5">
            <v>1800</v>
          </cell>
          <cell r="R5">
            <v>180</v>
          </cell>
          <cell r="S5">
            <v>2.8</v>
          </cell>
        </row>
        <row r="6">
          <cell r="H6">
            <v>4</v>
          </cell>
          <cell r="I6">
            <v>1500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2E43C0-DE02-4AB8-AC52-6617A8BA5C72}" name="Tabela1" displayName="Tabela1" ref="D2:E7" totalsRowShown="0">
  <autoFilter ref="D2:E7" xr:uid="{625A799D-5A58-4557-B12B-CCA38EA68BEE}"/>
  <tableColumns count="2">
    <tableColumn id="1" xr3:uid="{44496981-A802-4282-8876-43E4A8593C62}" name="T(°C)"/>
    <tableColumn id="2" xr3:uid="{F1B1530A-D4C5-4C5B-A05B-72FCA61CF81F}" name="V(10^-3 Pa.s)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532104-C288-4927-A710-72161DA9C3F3}" name="Tabela13" displayName="Tabela13" ref="D2:E7" totalsRowShown="0">
  <autoFilter ref="D2:E7" xr:uid="{625A799D-5A58-4557-B12B-CCA38EA68BEE}"/>
  <tableColumns count="2">
    <tableColumn id="1" xr3:uid="{CCC3F44E-A901-4B80-9143-3EF194B96AA6}" name="T(°C)"/>
    <tableColumn id="2" xr3:uid="{BACF6C2E-5719-45A7-8F60-E64CCD45C3E8}" name="V(10^-3 Pa.s)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7CB4AE3-323E-4C98-8026-8E40A3CD0E0F}" name="Tabela14" displayName="Tabela14" ref="C1:M7" totalsRowShown="0" headerRowDxfId="34" dataDxfId="33">
  <autoFilter ref="C1:M7" xr:uid="{683F5878-DE23-47FC-AB6F-DF4FCC3EB2FF}"/>
  <tableColumns count="11">
    <tableColumn id="1" xr3:uid="{3313F09A-15B1-426B-893F-D1EA67F6D83C}" name="j" dataDxfId="32"/>
    <tableColumn id="2" xr3:uid="{9F4168D7-718C-43FE-B298-FA4ADB5E64BC}" name="t" dataDxfId="31"/>
    <tableColumn id="3" xr3:uid="{CA58AC62-7E31-42AA-9836-04ECFEF3146F}" name="0" dataDxfId="30"/>
    <tableColumn id="4" xr3:uid="{C49F9D69-A24C-49EC-8D5D-CFD1813AD019}" name="1" dataDxfId="29">
      <calculatedColumnFormula>(E1+G1)/2</calculatedColumnFormula>
    </tableColumn>
    <tableColumn id="5" xr3:uid="{F232B2A9-92F8-4C71-BDEB-AB819C40725B}" name="2" dataDxfId="28">
      <calculatedColumnFormula>(F1+H1)/2</calculatedColumnFormula>
    </tableColumn>
    <tableColumn id="6" xr3:uid="{EF9872BB-D21A-4DE7-87BC-274DD75001F9}" name="3" dataDxfId="27">
      <calculatedColumnFormula>(G1+I1)/2</calculatedColumnFormula>
    </tableColumn>
    <tableColumn id="7" xr3:uid="{85E78DA9-DCBA-44AC-8005-A3892026D8AC}" name="4" dataDxfId="26">
      <calculatedColumnFormula>(H1+J1)/2</calculatedColumnFormula>
    </tableColumn>
    <tableColumn id="8" xr3:uid="{C329834A-5F58-49E4-87EA-405265BB2AAA}" name="5" dataDxfId="25">
      <calculatedColumnFormula>(I1+K1)/2</calculatedColumnFormula>
    </tableColumn>
    <tableColumn id="9" xr3:uid="{9A86245B-DB02-49F7-88D7-AEB7AD3A4807}" name="6" dataDxfId="24">
      <calculatedColumnFormula>(J1+L1)/2</calculatedColumnFormula>
    </tableColumn>
    <tableColumn id="10" xr3:uid="{A83976D0-CD42-4C79-BD93-19B394C0298B}" name="7" dataDxfId="23">
      <calculatedColumnFormula>(K1+M1)/2</calculatedColumnFormula>
    </tableColumn>
    <tableColumn id="11" xr3:uid="{0648337B-5D28-4789-A9B1-FA4F34C5C291}" name="8" dataDxfId="22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4350793-CD33-46E1-BE66-2C520C890A69}" name="Tabela2" displayName="Tabela2" ref="C10:O234" totalsRowShown="0">
  <autoFilter ref="C10:O234" xr:uid="{BA293757-48B0-4427-B49B-F0C7A24CA82F}"/>
  <tableColumns count="13">
    <tableColumn id="1" xr3:uid="{6ED97B64-9CD5-4AD7-A508-3AFDEB7BF408}" name="j"/>
    <tableColumn id="2" xr3:uid="{FCD8DE28-DA1A-41B6-9222-CA20EAA89FF9}" name="t" dataDxfId="21"/>
    <tableColumn id="3" xr3:uid="{44EBB2D2-F404-49EA-96BC-B78EADE7806B}" name="0" dataDxfId="20">
      <calculatedColumnFormula>$E$11</calculatedColumnFormula>
    </tableColumn>
    <tableColumn id="4" xr3:uid="{18DC0B69-AAF1-45B6-AE0C-D39EF339050C}" name="1" dataDxfId="19">
      <calculatedColumnFormula>(E10+G10)/2</calculatedColumnFormula>
    </tableColumn>
    <tableColumn id="5" xr3:uid="{F060359C-3C66-456F-953E-0C4C636A45AF}" name="2" dataDxfId="18">
      <calculatedColumnFormula>(F10+H10)/2</calculatedColumnFormula>
    </tableColumn>
    <tableColumn id="6" xr3:uid="{7FB13EF0-8BBB-4834-B600-BDBDA93AD861}" name="3" dataDxfId="17">
      <calculatedColumnFormula>(G10+I10)/2</calculatedColumnFormula>
    </tableColumn>
    <tableColumn id="7" xr3:uid="{D109C9E7-904E-4F39-980F-B8243CE891BD}" name="4" dataDxfId="16">
      <calculatedColumnFormula>(H10+J10)/2</calculatedColumnFormula>
    </tableColumn>
    <tableColumn id="8" xr3:uid="{F6F516F2-5F34-4AD5-BC81-1769F0FADCF5}" name="5" dataDxfId="15">
      <calculatedColumnFormula>(I10+K10)/2</calculatedColumnFormula>
    </tableColumn>
    <tableColumn id="9" xr3:uid="{0E4799EE-466C-447F-8805-0A91378E686F}" name="6" dataDxfId="14">
      <calculatedColumnFormula>(J10+L10)/2</calculatedColumnFormula>
    </tableColumn>
    <tableColumn id="10" xr3:uid="{1A5F4CBE-C41A-461A-8477-B515352D3726}" name="7" dataDxfId="13">
      <calculatedColumnFormula>(K10+M10)/2</calculatedColumnFormula>
    </tableColumn>
    <tableColumn id="11" xr3:uid="{C2DA7A6A-D251-4BAB-AB33-05874DA6F89C}" name="8" dataDxfId="12">
      <calculatedColumnFormula>(L10+N10)/2</calculatedColumnFormula>
    </tableColumn>
    <tableColumn id="12" xr3:uid="{56899921-A6CE-4875-8322-B167CF71F519}" name="9" dataDxfId="11">
      <calculatedColumnFormula>(M10+O10)/2</calculatedColumnFormula>
    </tableColumn>
    <tableColumn id="13" xr3:uid="{385110F2-5DF6-4771-9EA0-DC79CFE7C75C}" name="10">
      <calculatedColumnFormula>$O$11</calculatedColumnFormula>
    </tableColumn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999E883-D50C-4C2E-8252-C68E68E9B58B}" name="Tabela16" displayName="Tabela16" ref="C1:G12" totalsRowShown="0">
  <autoFilter ref="C1:G12" xr:uid="{679033FB-D5CD-41A5-A01D-8026F05A5EC9}"/>
  <tableColumns count="5">
    <tableColumn id="1" xr3:uid="{B4C6FFFF-2D23-4630-827D-421010C4B2BC}" name="i"/>
    <tableColumn id="2" xr3:uid="{5AC9BA3A-6CD1-4F6C-B2C4-07404E7091A0}" name="xi"/>
    <tableColumn id="3" xr3:uid="{6CE5DCFB-9A84-486E-B26B-6841129A4199}" name="yi">
      <calculatedColumnFormula>E1+((1/2)*F1+G1)</calculatedColumnFormula>
    </tableColumn>
    <tableColumn id="5" xr3:uid="{360A1945-534B-4A41-BD4F-E69168B9CC77}" name="k1">
      <calculatedColumnFormula>$A$9*E2</calculatedColumnFormula>
    </tableColumn>
    <tableColumn id="6" xr3:uid="{2AF45AC8-5D83-499E-9E7D-AF733A8257EB}" name="k2" dataDxfId="10">
      <calculatedColumnFormula>$A$9*(E2+F2)</calculatedColumnFormula>
    </tableColumn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301E83D-9529-419F-969B-F2E3855A0F37}" name="Tabela27" displayName="Tabela27" ref="C15:K26" totalsRowShown="0">
  <autoFilter ref="C15:K26" xr:uid="{22FFA42C-7A99-4FBD-8E11-B6B74A5EC69B}"/>
  <tableColumns count="9">
    <tableColumn id="1" xr3:uid="{9580A82F-3598-45BC-9953-3F826AD11990}" name="i"/>
    <tableColumn id="2" xr3:uid="{6E9EA98C-64BA-41BF-90C2-B51A1529EECA}" name="xi"/>
    <tableColumn id="3" xr3:uid="{61075989-7E90-4989-B637-651C4501E946}" name="yi">
      <calculatedColumnFormula>E16+(1/6)*(F16+2*G16+2*H16+I16)</calculatedColumnFormula>
    </tableColumn>
    <tableColumn id="4" xr3:uid="{4B7D048C-97F0-43C7-8EF6-DE6DECC4F155}" name="k1">
      <calculatedColumnFormula>$A$23*E16</calculatedColumnFormula>
    </tableColumn>
    <tableColumn id="5" xr3:uid="{FA565321-7608-432B-9503-AFDBC364557D}" name="k2">
      <calculatedColumnFormula>$A$23*(E16+(F16/2))</calculatedColumnFormula>
    </tableColumn>
    <tableColumn id="6" xr3:uid="{E3F0741D-551A-4D6A-827A-C3FB4A603208}" name="k3">
      <calculatedColumnFormula>$A$23*(E16+(G16/2))</calculatedColumnFormula>
    </tableColumn>
    <tableColumn id="7" xr3:uid="{94852E4C-D61B-4AF2-84BF-12BFF91F7E8D}" name="k4">
      <calculatedColumnFormula>$A$23*(E16+H16)</calculatedColumnFormula>
    </tableColumn>
    <tableColumn id="8" xr3:uid="{6A1FD8FD-10AD-43F4-B79D-2F294E50D517}" name="yi(analitica)" dataDxfId="9">
      <calculatedColumnFormula>EXP(Tabela27[[#This Row],[xi]])</calculatedColumnFormula>
    </tableColumn>
    <tableColumn id="9" xr3:uid="{5227D631-C4E8-4CE8-B932-32F95309DB66}" name="Erro" dataDxfId="8">
      <calculatedColumnFormula>ABS(Tabela27[[#This Row],[yi(analitica)]]-Tabela27[[#This Row],[yi]])</calculatedColumnFormula>
    </tableColumn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2EEB4C8-9884-462F-A8C5-3F7B3780FB5E}" name="Tabela23" displayName="Tabela23" ref="C1:N12" totalsRowShown="0">
  <autoFilter ref="C1:N12" xr:uid="{4EB7B342-062D-4FE0-B7E2-46774D105BA4}"/>
  <tableColumns count="12">
    <tableColumn id="1" xr3:uid="{DB316E64-FD94-4A67-AF87-8B5F8B4D7B63}" name="i"/>
    <tableColumn id="2" xr3:uid="{3CE4C977-DA88-4B9D-8C58-82878877105C}" name="xi"/>
    <tableColumn id="3" xr3:uid="{44818C89-463C-4B6F-B148-2CB864557C63}" name="yi">
      <calculatedColumnFormula>E2+(1/6)*(F2+2*G2+2*H2+I2)</calculatedColumnFormula>
    </tableColumn>
    <tableColumn id="4" xr3:uid="{9C40F45C-F6A2-473F-B54D-B3CFA7B19B43}" name="k1" dataDxfId="7">
      <calculatedColumnFormula>$A$23*Tabela23[[#This Row],[zi]]</calculatedColumnFormula>
    </tableColumn>
    <tableColumn id="5" xr3:uid="{F98BBC26-FA36-4F67-9AF7-C8DABD57D9EF}" name="k2" dataDxfId="6">
      <calculatedColumnFormula>$A$23*(Tabela23[[#This Row],[zi]]+(Tabela23[[#This Row],[l1]]/2))</calculatedColumnFormula>
    </tableColumn>
    <tableColumn id="6" xr3:uid="{CCD204BC-4836-4571-B929-0144EE7BEC95}" name="k3" dataDxfId="5">
      <calculatedColumnFormula>$A$23*(Tabela23[[#This Row],[zi]]+(L2/2))</calculatedColumnFormula>
    </tableColumn>
    <tableColumn id="7" xr3:uid="{5E2CB132-25C1-4CB0-AF86-7E683BDDE492}" name="k4" dataDxfId="4">
      <calculatedColumnFormula>$A$23*(J2+M2)</calculatedColumnFormula>
    </tableColumn>
    <tableColumn id="10" xr3:uid="{4823AEF4-E4B9-4627-AB44-0D47C3898A57}" name="zi"/>
    <tableColumn id="11" xr3:uid="{526D0313-900A-4F45-BC4F-A37A32A9F9F6}" name="l1" dataDxfId="3">
      <calculatedColumnFormula>$A$23*(3*Tabela23[[#This Row],[zi]]-2*Tabela23[[#This Row],[yi]])</calculatedColumnFormula>
    </tableColumn>
    <tableColumn id="12" xr3:uid="{49088D8E-1E08-48FB-8146-4FEB021AD9A7}" name="l2" dataDxfId="2">
      <calculatedColumnFormula>$A$23*(3*(Tabela23[[#This Row],[zi]]+Tabela23[[#This Row],[l1]]/2)-2*(Tabela23[[#This Row],[yi]]+Tabela23[[#This Row],[k1]]/2))</calculatedColumnFormula>
    </tableColumn>
    <tableColumn id="13" xr3:uid="{84ED45FE-EB3F-4F33-8385-537D3920C6C3}" name="l3" dataDxfId="1">
      <calculatedColumnFormula>$A$23*(3*(Tabela23[[#This Row],[zi]]+Tabela23[[#This Row],[l2]]/2)-2*(Tabela23[[#This Row],[yi]]+Tabela23[[#This Row],[k2]]/2))</calculatedColumnFormula>
    </tableColumn>
    <tableColumn id="14" xr3:uid="{152DED1C-B695-4598-A83C-000241C2CA7E}" name="l4" dataDxfId="0">
      <calculatedColumnFormula>$A$23*(3*(Tabela23[[#This Row],[zi]]+Tabela23[[#This Row],[l3]])-2*(Tabela23[[#This Row],[yi]]+Tabela23[[#This Row],[k3]]))</calculatedColumnFormula>
    </tableColumn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079DC1B-C35B-4C45-9ED0-33BF00155658}" name="Tabela19" displayName="Tabela19" ref="C1:F12" totalsRowShown="0">
  <autoFilter ref="C1:F12" xr:uid="{9555D497-DEEF-4F3E-9B0D-E3E6065C4F57}"/>
  <tableColumns count="4">
    <tableColumn id="1" xr3:uid="{7880B0C5-F66C-49EC-BE29-1FD1F71B7490}" name="i"/>
    <tableColumn id="2" xr3:uid="{0FBC57C7-85DA-4023-AFCE-928402161CC2}" name="xi"/>
    <tableColumn id="3" xr3:uid="{15A7BCEC-AE97-4EF2-A0D7-AED30D1FC874}" name="yi">
      <calculatedColumnFormula>E1+0.01*F1</calculatedColumnFormula>
    </tableColumn>
    <tableColumn id="4" xr3:uid="{1F8DCAAC-066D-4694-A8D6-16B8A3C53319}" name="y'i">
      <calculatedColumnFormula>1-2*E2*D2</calculatedColumnFormula>
    </tableColumn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18155ED-402D-4C2B-BF32-D08F572E6E91}" name="Tabela210" displayName="Tabela210" ref="C15:H26" totalsRowShown="0">
  <autoFilter ref="C15:H26" xr:uid="{2EA8E16A-5590-48A9-9202-17DC61C90D18}"/>
  <tableColumns count="6">
    <tableColumn id="1" xr3:uid="{DC9DB4B1-C5DF-4F26-8887-E05B7E44CEE1}" name="i"/>
    <tableColumn id="2" xr3:uid="{B888930D-30B0-400C-8708-5CFF0F64DC37}" name="xi"/>
    <tableColumn id="3" xr3:uid="{6E60BFB4-7B0A-4A05-932E-004943E0C648}" name="yi(numérico)">
      <calculatedColumnFormula>E15+$A$21*F15</calculatedColumnFormula>
    </tableColumn>
    <tableColumn id="4" xr3:uid="{861F2EBE-1EAA-4159-A537-32AAE6023FE1}" name="y'i">
      <calculatedColumnFormula>E16</calculatedColumnFormula>
    </tableColumn>
    <tableColumn id="5" xr3:uid="{5DAC3C01-F556-4B26-8462-AAADC44CBE6B}" name="yi(analitico)">
      <calculatedColumnFormula>EXP(D16)</calculatedColumnFormula>
    </tableColumn>
    <tableColumn id="6" xr3:uid="{5EF60900-9135-4E3D-9EDC-63B5E99E97A3}" name="Erro">
      <calculatedColumnFormula>G16-E16/G16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14F78-C21D-4FFC-8E62-5647B8C8D958}">
  <dimension ref="B2:Q6"/>
  <sheetViews>
    <sheetView zoomScale="115" zoomScaleNormal="115" workbookViewId="0">
      <selection activeCell="J1" sqref="J1"/>
    </sheetView>
  </sheetViews>
  <sheetFormatPr defaultColWidth="10" defaultRowHeight="60" customHeight="1" x14ac:dyDescent="0.35"/>
  <cols>
    <col min="13" max="15" width="10.453125" bestFit="1" customWidth="1"/>
    <col min="16" max="16" width="10.1796875" bestFit="1" customWidth="1"/>
  </cols>
  <sheetData>
    <row r="2" spans="2:17" ht="60" customHeight="1" x14ac:dyDescent="0.35">
      <c r="B2" s="1"/>
      <c r="C2" s="1">
        <v>60</v>
      </c>
      <c r="D2" s="1">
        <v>60</v>
      </c>
      <c r="E2" s="1">
        <v>60</v>
      </c>
      <c r="F2" s="1">
        <v>60</v>
      </c>
      <c r="G2" s="1">
        <v>60</v>
      </c>
      <c r="H2" s="1">
        <v>60</v>
      </c>
      <c r="I2" s="1"/>
      <c r="L2" s="1"/>
      <c r="M2" s="1">
        <v>20</v>
      </c>
      <c r="N2" s="1">
        <v>20</v>
      </c>
      <c r="O2" s="1">
        <v>20</v>
      </c>
      <c r="P2" s="1">
        <v>20</v>
      </c>
      <c r="Q2" s="1"/>
    </row>
    <row r="3" spans="2:17" ht="60" customHeight="1" x14ac:dyDescent="0.35">
      <c r="B3" s="1">
        <v>80</v>
      </c>
      <c r="C3" s="2">
        <f t="shared" ref="C3:D5" ca="1" si="0">(C2+B3+C4+D3)/4</f>
        <v>64.599900352325761</v>
      </c>
      <c r="D3" s="2">
        <f t="shared" ca="1" si="0"/>
        <v>57.130375885509515</v>
      </c>
      <c r="E3" s="2">
        <f t="shared" ref="E3:H3" ca="1" si="1">(E2+D3+E4+F3)/4</f>
        <v>53.410355457726197</v>
      </c>
      <c r="F3" s="2">
        <f t="shared" ca="1" si="1"/>
        <v>51.459446946409656</v>
      </c>
      <c r="G3" s="2">
        <f t="shared" ca="1" si="1"/>
        <v>50.040799857457252</v>
      </c>
      <c r="H3" s="2">
        <f t="shared" ca="1" si="1"/>
        <v>47.615520371452327</v>
      </c>
      <c r="I3" s="1">
        <v>40</v>
      </c>
      <c r="L3" s="1">
        <v>50</v>
      </c>
      <c r="M3" s="3">
        <f ca="1">(M2+N3+L3+M4)/4</f>
        <v>27.722490830921938</v>
      </c>
      <c r="N3" s="3">
        <f t="shared" ref="N3:P3" ca="1" si="2">(N2+O3+M3+N4)/4</f>
        <v>18.430624967027477</v>
      </c>
      <c r="O3" s="3">
        <f t="shared" ca="1" si="2"/>
        <v>13.88516939979635</v>
      </c>
      <c r="P3" s="3">
        <f t="shared" ca="1" si="2"/>
        <v>9.5406706394589591</v>
      </c>
      <c r="Q3" s="1">
        <v>0</v>
      </c>
    </row>
    <row r="4" spans="2:17" ht="60" customHeight="1" x14ac:dyDescent="0.35">
      <c r="B4" s="1">
        <v>80</v>
      </c>
      <c r="C4" s="2">
        <f t="shared" ca="1" si="0"/>
        <v>61.269225523793565</v>
      </c>
      <c r="D4" s="2">
        <f t="shared" ca="1" si="0"/>
        <v>50.511247731986138</v>
      </c>
      <c r="E4" s="2">
        <f t="shared" ref="E4:H5" ca="1" si="3">(E3+D4+E5+F4)/4</f>
        <v>45.051598998985618</v>
      </c>
      <c r="F4" s="2">
        <f t="shared" ca="1" si="3"/>
        <v>42.386632470455176</v>
      </c>
      <c r="G4" s="2">
        <f t="shared" ca="1" si="3"/>
        <v>41.088232111967017</v>
      </c>
      <c r="H4" s="2">
        <f t="shared" ca="1" si="3"/>
        <v>40.421281628352062</v>
      </c>
      <c r="I4" s="1">
        <v>40</v>
      </c>
      <c r="L4" s="1">
        <v>50</v>
      </c>
      <c r="M4" s="3">
        <f ca="1">(M3+N4+L4+M5)/4</f>
        <v>22.459331971350235</v>
      </c>
      <c r="N4" s="3">
        <f t="shared" ref="N4:P4" ca="1" si="4">(N3+O4+M4+N5)/4</f>
        <v>12.114834471566638</v>
      </c>
      <c r="O4" s="3">
        <f t="shared" ca="1" si="4"/>
        <v>7.5693792573506169</v>
      </c>
      <c r="P4" s="3">
        <f t="shared" ca="1" si="4"/>
        <v>4.2775124742023944</v>
      </c>
      <c r="Q4" s="1">
        <v>0</v>
      </c>
    </row>
    <row r="5" spans="2:17" ht="60" customHeight="1" x14ac:dyDescent="0.35">
      <c r="B5" s="1">
        <v>80</v>
      </c>
      <c r="C5" s="2">
        <f t="shared" ca="1" si="0"/>
        <v>49.965754010862362</v>
      </c>
      <c r="D5" s="2">
        <f t="shared" ca="1" si="0"/>
        <v>38.593790519655869</v>
      </c>
      <c r="E5" s="2">
        <f t="shared" ca="1" si="3"/>
        <v>33.898160335774975</v>
      </c>
      <c r="F5" s="2">
        <f t="shared" ca="1" si="3"/>
        <v>31.947251824458434</v>
      </c>
      <c r="G5" s="2">
        <f t="shared" ca="1" si="3"/>
        <v>31.504214491603591</v>
      </c>
      <c r="H5" s="2">
        <f t="shared" ca="1" si="3"/>
        <v>32.981374029988913</v>
      </c>
      <c r="I5" s="1">
        <v>40</v>
      </c>
      <c r="L5" s="1"/>
      <c r="M5" s="1">
        <v>0</v>
      </c>
      <c r="N5" s="1">
        <v>0</v>
      </c>
      <c r="O5" s="1">
        <v>0</v>
      </c>
      <c r="P5" s="1">
        <v>0</v>
      </c>
      <c r="Q5" s="1"/>
    </row>
    <row r="6" spans="2:17" ht="60" customHeight="1" x14ac:dyDescent="0.35">
      <c r="B6" s="1"/>
      <c r="C6" s="1">
        <v>20</v>
      </c>
      <c r="D6" s="1">
        <v>20</v>
      </c>
      <c r="E6" s="1">
        <v>20</v>
      </c>
      <c r="F6" s="1">
        <v>20</v>
      </c>
      <c r="G6" s="1">
        <v>20</v>
      </c>
      <c r="H6" s="1">
        <v>20</v>
      </c>
      <c r="I6" s="1"/>
    </row>
  </sheetData>
  <conditionalFormatting sqref="C3:H5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80FA-8E3B-4226-BB2A-AA899069B746}">
  <dimension ref="A1:H22"/>
  <sheetViews>
    <sheetView workbookViewId="0">
      <selection activeCell="I35" sqref="I35"/>
    </sheetView>
  </sheetViews>
  <sheetFormatPr defaultRowHeight="14.5" x14ac:dyDescent="0.35"/>
  <cols>
    <col min="5" max="5" width="14.81640625" customWidth="1"/>
  </cols>
  <sheetData>
    <row r="1" spans="1:5" x14ac:dyDescent="0.35">
      <c r="A1" t="s">
        <v>0</v>
      </c>
      <c r="B1" t="s">
        <v>1</v>
      </c>
    </row>
    <row r="2" spans="1:5" x14ac:dyDescent="0.35">
      <c r="A2" t="s">
        <v>2</v>
      </c>
      <c r="B2" t="s">
        <v>3</v>
      </c>
      <c r="D2" t="s">
        <v>4</v>
      </c>
      <c r="E2" t="s">
        <v>5</v>
      </c>
    </row>
    <row r="3" spans="1:5" x14ac:dyDescent="0.35">
      <c r="A3" t="s">
        <v>6</v>
      </c>
      <c r="B3" t="s">
        <v>7</v>
      </c>
      <c r="D3">
        <v>10</v>
      </c>
      <c r="E3">
        <v>1.2929999999999999</v>
      </c>
    </row>
    <row r="4" spans="1:5" x14ac:dyDescent="0.35">
      <c r="D4">
        <v>20</v>
      </c>
      <c r="E4">
        <v>1</v>
      </c>
    </row>
    <row r="5" spans="1:5" x14ac:dyDescent="0.35">
      <c r="A5" t="s">
        <v>8</v>
      </c>
      <c r="B5" t="s">
        <v>9</v>
      </c>
      <c r="C5" t="s">
        <v>10</v>
      </c>
      <c r="D5">
        <v>30</v>
      </c>
      <c r="E5">
        <v>0.8</v>
      </c>
    </row>
    <row r="6" spans="1:5" x14ac:dyDescent="0.35">
      <c r="A6" t="s">
        <v>11</v>
      </c>
      <c r="B6" t="s">
        <v>12</v>
      </c>
      <c r="C6" t="s">
        <v>10</v>
      </c>
      <c r="D6">
        <v>40</v>
      </c>
      <c r="E6">
        <v>0.65400000000000003</v>
      </c>
    </row>
    <row r="7" spans="1:5" x14ac:dyDescent="0.35">
      <c r="D7">
        <v>50</v>
      </c>
      <c r="E7">
        <v>0.54600000000000004</v>
      </c>
    </row>
    <row r="8" spans="1:5" x14ac:dyDescent="0.35">
      <c r="A8">
        <v>30</v>
      </c>
      <c r="B8">
        <v>1</v>
      </c>
      <c r="C8">
        <v>0.8</v>
      </c>
    </row>
    <row r="9" spans="1:5" x14ac:dyDescent="0.35">
      <c r="A9">
        <v>40</v>
      </c>
      <c r="B9">
        <v>1</v>
      </c>
      <c r="C9">
        <v>0.65400000000000003</v>
      </c>
    </row>
    <row r="11" spans="1:5" x14ac:dyDescent="0.35">
      <c r="A11">
        <v>30</v>
      </c>
      <c r="B11">
        <v>1</v>
      </c>
      <c r="C11">
        <v>0.8</v>
      </c>
    </row>
    <row r="12" spans="1:5" x14ac:dyDescent="0.35">
      <c r="A12">
        <f>($H$18*A8)+A9</f>
        <v>0</v>
      </c>
      <c r="B12">
        <f t="shared" ref="B12:C12" si="0">($H$18*B8)+B9</f>
        <v>-0.33333333333333326</v>
      </c>
      <c r="C12">
        <f t="shared" si="0"/>
        <v>-0.41266666666666663</v>
      </c>
    </row>
    <row r="15" spans="1:5" x14ac:dyDescent="0.35">
      <c r="B15" t="s">
        <v>13</v>
      </c>
      <c r="C15">
        <v>33</v>
      </c>
    </row>
    <row r="16" spans="1:5" x14ac:dyDescent="0.35">
      <c r="B16" t="s">
        <v>14</v>
      </c>
      <c r="C16">
        <f>C15*H20+H19</f>
        <v>0.75619999999999998</v>
      </c>
    </row>
    <row r="18" spans="7:8" x14ac:dyDescent="0.35">
      <c r="G18" t="s">
        <v>15</v>
      </c>
      <c r="H18">
        <f>-A9/A8</f>
        <v>-1.3333333333333333</v>
      </c>
    </row>
    <row r="19" spans="7:8" x14ac:dyDescent="0.35">
      <c r="G19" t="s">
        <v>16</v>
      </c>
      <c r="H19">
        <f>C12/B12</f>
        <v>1.2380000000000002</v>
      </c>
    </row>
    <row r="20" spans="7:8" x14ac:dyDescent="0.35">
      <c r="G20" t="s">
        <v>17</v>
      </c>
      <c r="H20">
        <f>(C11-(B11*H19))/A11</f>
        <v>-1.4600000000000005E-2</v>
      </c>
    </row>
    <row r="21" spans="7:8" x14ac:dyDescent="0.35">
      <c r="G21" t="s">
        <v>18</v>
      </c>
      <c r="H21">
        <v>-1.4999999999999999E-2</v>
      </c>
    </row>
    <row r="22" spans="7:8" x14ac:dyDescent="0.35">
      <c r="H22">
        <v>1.238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3DE6C-4938-4E7A-B2E0-A924330EF819}">
  <dimension ref="A1:H32"/>
  <sheetViews>
    <sheetView workbookViewId="0">
      <selection activeCell="E21" sqref="E21"/>
    </sheetView>
  </sheetViews>
  <sheetFormatPr defaultRowHeight="14.5" x14ac:dyDescent="0.35"/>
  <cols>
    <col min="5" max="5" width="14.81640625" customWidth="1"/>
  </cols>
  <sheetData>
    <row r="1" spans="1:5" x14ac:dyDescent="0.35">
      <c r="A1" t="s">
        <v>0</v>
      </c>
      <c r="B1" t="s">
        <v>1</v>
      </c>
    </row>
    <row r="2" spans="1:5" x14ac:dyDescent="0.35">
      <c r="A2" t="s">
        <v>2</v>
      </c>
      <c r="B2" t="s">
        <v>3</v>
      </c>
      <c r="D2" t="s">
        <v>4</v>
      </c>
      <c r="E2" t="s">
        <v>5</v>
      </c>
    </row>
    <row r="3" spans="1:5" x14ac:dyDescent="0.35">
      <c r="A3" t="s">
        <v>6</v>
      </c>
      <c r="B3" t="s">
        <v>7</v>
      </c>
      <c r="D3">
        <v>10</v>
      </c>
      <c r="E3">
        <v>1.2929999999999999</v>
      </c>
    </row>
    <row r="4" spans="1:5" x14ac:dyDescent="0.35">
      <c r="D4">
        <v>20</v>
      </c>
      <c r="E4">
        <v>1</v>
      </c>
    </row>
    <row r="5" spans="1:5" x14ac:dyDescent="0.35">
      <c r="D5">
        <v>30</v>
      </c>
      <c r="E5">
        <v>0.8</v>
      </c>
    </row>
    <row r="6" spans="1:5" x14ac:dyDescent="0.35">
      <c r="D6">
        <v>40</v>
      </c>
      <c r="E6">
        <v>0.65400000000000003</v>
      </c>
    </row>
    <row r="7" spans="1:5" x14ac:dyDescent="0.35">
      <c r="D7">
        <v>50</v>
      </c>
      <c r="E7">
        <v>0.54600000000000004</v>
      </c>
    </row>
    <row r="8" spans="1:5" x14ac:dyDescent="0.35">
      <c r="A8">
        <v>30</v>
      </c>
      <c r="B8">
        <v>1</v>
      </c>
      <c r="C8">
        <v>0.8</v>
      </c>
    </row>
    <row r="9" spans="1:5" x14ac:dyDescent="0.35">
      <c r="A9">
        <v>40</v>
      </c>
      <c r="B9">
        <v>1</v>
      </c>
      <c r="C9">
        <v>0.65400000000000003</v>
      </c>
    </row>
    <row r="11" spans="1:5" x14ac:dyDescent="0.35">
      <c r="A11">
        <v>30</v>
      </c>
      <c r="B11">
        <v>1</v>
      </c>
      <c r="C11">
        <v>0.8</v>
      </c>
    </row>
    <row r="12" spans="1:5" x14ac:dyDescent="0.35">
      <c r="A12">
        <f>($H$18*A8)+A9</f>
        <v>0</v>
      </c>
      <c r="B12">
        <f t="shared" ref="B12:C12" si="0">($H$18*B8)+B9</f>
        <v>-0.33333333333333326</v>
      </c>
      <c r="C12">
        <f t="shared" si="0"/>
        <v>-0.41266666666666663</v>
      </c>
    </row>
    <row r="15" spans="1:5" x14ac:dyDescent="0.35">
      <c r="B15" t="s">
        <v>13</v>
      </c>
      <c r="C15">
        <v>37</v>
      </c>
    </row>
    <row r="16" spans="1:5" x14ac:dyDescent="0.35">
      <c r="B16" t="s">
        <v>14</v>
      </c>
      <c r="C16" s="4">
        <f>C15*H20+H19</f>
        <v>0.69779999999999998</v>
      </c>
    </row>
    <row r="18" spans="1:8" x14ac:dyDescent="0.35">
      <c r="G18" t="s">
        <v>15</v>
      </c>
      <c r="H18">
        <f>-A9/A8</f>
        <v>-1.3333333333333333</v>
      </c>
    </row>
    <row r="19" spans="1:8" x14ac:dyDescent="0.35">
      <c r="G19" t="s">
        <v>16</v>
      </c>
      <c r="H19">
        <f>C12/B12</f>
        <v>1.2380000000000002</v>
      </c>
    </row>
    <row r="20" spans="1:8" x14ac:dyDescent="0.35">
      <c r="G20" t="s">
        <v>17</v>
      </c>
      <c r="H20">
        <f>(C11-(B11*H19))/A11</f>
        <v>-1.4600000000000005E-2</v>
      </c>
    </row>
    <row r="21" spans="1:8" x14ac:dyDescent="0.35">
      <c r="G21" t="s">
        <v>18</v>
      </c>
      <c r="H21">
        <v>-1.4999999999999999E-2</v>
      </c>
    </row>
    <row r="22" spans="1:8" x14ac:dyDescent="0.35">
      <c r="H22">
        <v>1.238</v>
      </c>
    </row>
    <row r="24" spans="1:8" x14ac:dyDescent="0.35">
      <c r="A24" t="s">
        <v>19</v>
      </c>
      <c r="B24" t="s">
        <v>20</v>
      </c>
    </row>
    <row r="26" spans="1:8" x14ac:dyDescent="0.35">
      <c r="A26">
        <v>0.8</v>
      </c>
      <c r="B26">
        <v>1</v>
      </c>
      <c r="C26">
        <v>30</v>
      </c>
      <c r="D26">
        <f>C26^2</f>
        <v>900</v>
      </c>
      <c r="F26" cm="1">
        <f t="array" ref="F26:H28">MINVERSE(B26:D28)</f>
        <v>10</v>
      </c>
      <c r="G26">
        <v>-15</v>
      </c>
      <c r="H26">
        <v>6</v>
      </c>
    </row>
    <row r="27" spans="1:8" x14ac:dyDescent="0.35">
      <c r="A27">
        <v>0.65400000000000003</v>
      </c>
      <c r="B27">
        <v>1</v>
      </c>
      <c r="C27">
        <v>40</v>
      </c>
      <c r="D27">
        <f t="shared" ref="D27:D28" si="1">C27^2</f>
        <v>1600</v>
      </c>
      <c r="F27">
        <v>-0.45</v>
      </c>
      <c r="G27">
        <v>0.8</v>
      </c>
      <c r="H27">
        <v>-0.35</v>
      </c>
    </row>
    <row r="28" spans="1:8" x14ac:dyDescent="0.35">
      <c r="A28">
        <v>0.54600000000000004</v>
      </c>
      <c r="B28">
        <v>1</v>
      </c>
      <c r="C28">
        <v>50</v>
      </c>
      <c r="D28">
        <f t="shared" si="1"/>
        <v>2500</v>
      </c>
      <c r="F28">
        <v>5.0000000000000001E-3</v>
      </c>
      <c r="G28">
        <v>-0.01</v>
      </c>
      <c r="H28">
        <v>5.0000000000000001E-3</v>
      </c>
    </row>
    <row r="30" spans="1:8" x14ac:dyDescent="0.35">
      <c r="E30" t="s">
        <v>21</v>
      </c>
      <c r="F30" cm="1">
        <f t="array" ref="F30:F32">MMULT(_xlfn.ANCHORARRAY(F26),A26:A28)</f>
        <v>1.4659999999999997</v>
      </c>
    </row>
    <row r="31" spans="1:8" x14ac:dyDescent="0.35">
      <c r="B31" t="s">
        <v>13</v>
      </c>
      <c r="C31">
        <v>37</v>
      </c>
      <c r="E31" t="s">
        <v>22</v>
      </c>
      <c r="F31">
        <v>-2.7900000000000036E-2</v>
      </c>
    </row>
    <row r="32" spans="1:8" x14ac:dyDescent="0.35">
      <c r="B32" t="s">
        <v>14</v>
      </c>
      <c r="C32" s="4">
        <f>F30+F31*C31+F32*C31^2</f>
        <v>0.69380999999999793</v>
      </c>
      <c r="E32" t="s">
        <v>23</v>
      </c>
      <c r="F32">
        <v>1.8999999999999963E-4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B4844-37C7-4042-8A60-1211AF250A78}">
  <dimension ref="A3:O21"/>
  <sheetViews>
    <sheetView workbookViewId="0">
      <selection activeCell="E24" sqref="E24"/>
    </sheetView>
  </sheetViews>
  <sheetFormatPr defaultRowHeight="14.5" x14ac:dyDescent="0.35"/>
  <sheetData>
    <row r="3" spans="1:15" x14ac:dyDescent="0.35">
      <c r="A3" t="s">
        <v>24</v>
      </c>
      <c r="B3">
        <v>1</v>
      </c>
      <c r="C3">
        <v>2</v>
      </c>
      <c r="D3">
        <v>1</v>
      </c>
      <c r="E3">
        <v>1</v>
      </c>
      <c r="F3">
        <v>5</v>
      </c>
      <c r="H3" t="s">
        <v>15</v>
      </c>
      <c r="I3">
        <f>-(B4/B3)</f>
        <v>-2</v>
      </c>
    </row>
    <row r="4" spans="1:15" x14ac:dyDescent="0.35">
      <c r="B4">
        <v>2</v>
      </c>
      <c r="C4">
        <v>-1</v>
      </c>
      <c r="D4">
        <v>0</v>
      </c>
      <c r="E4">
        <v>3</v>
      </c>
      <c r="F4">
        <v>4</v>
      </c>
      <c r="H4" t="s">
        <v>25</v>
      </c>
      <c r="I4">
        <f>-(B5/B3)</f>
        <v>-1</v>
      </c>
      <c r="L4" cm="1">
        <f t="array" ref="L4:O7">MINVERSE(B3:E6)</f>
        <v>4.7619047619047623E-2</v>
      </c>
      <c r="M4">
        <v>9.5238095238095247E-2</v>
      </c>
      <c r="N4">
        <v>4.7619047619047637E-2</v>
      </c>
      <c r="O4">
        <v>0.23809523809523811</v>
      </c>
    </row>
    <row r="5" spans="1:15" x14ac:dyDescent="0.35">
      <c r="B5">
        <v>1</v>
      </c>
      <c r="C5">
        <v>-5</v>
      </c>
      <c r="D5">
        <v>-1</v>
      </c>
      <c r="E5">
        <v>-2</v>
      </c>
      <c r="F5">
        <v>-7</v>
      </c>
      <c r="H5" t="s">
        <v>26</v>
      </c>
      <c r="I5">
        <f>-(B6/B3)</f>
        <v>-3</v>
      </c>
      <c r="L5">
        <v>-0.26190476190476192</v>
      </c>
      <c r="M5">
        <v>-2.3809523809523829E-2</v>
      </c>
      <c r="N5">
        <v>-0.26190476190476197</v>
      </c>
      <c r="O5">
        <v>0.19047619047619047</v>
      </c>
    </row>
    <row r="6" spans="1:15" x14ac:dyDescent="0.35">
      <c r="B6">
        <v>3</v>
      </c>
      <c r="C6">
        <v>1</v>
      </c>
      <c r="D6">
        <v>0</v>
      </c>
      <c r="E6">
        <v>-1</v>
      </c>
      <c r="F6">
        <v>3</v>
      </c>
      <c r="L6">
        <v>1.5952380952380951</v>
      </c>
      <c r="M6">
        <v>-0.30952380952380948</v>
      </c>
      <c r="N6">
        <v>0.59523809523809534</v>
      </c>
      <c r="O6">
        <v>-0.52380952380952384</v>
      </c>
    </row>
    <row r="7" spans="1:15" x14ac:dyDescent="0.35">
      <c r="L7">
        <v>-0.11904761904761904</v>
      </c>
      <c r="M7">
        <v>0.26190476190476192</v>
      </c>
      <c r="N7">
        <v>-0.11904761904761905</v>
      </c>
      <c r="O7">
        <v>-9.5238095238095233E-2</v>
      </c>
    </row>
    <row r="8" spans="1:15" x14ac:dyDescent="0.35">
      <c r="A8" t="s">
        <v>27</v>
      </c>
      <c r="B8">
        <f>B3</f>
        <v>1</v>
      </c>
      <c r="C8">
        <f>C3</f>
        <v>2</v>
      </c>
      <c r="D8">
        <f>D3</f>
        <v>1</v>
      </c>
      <c r="E8">
        <f>E3</f>
        <v>1</v>
      </c>
      <c r="F8">
        <f>F3</f>
        <v>5</v>
      </c>
      <c r="H8" t="s">
        <v>15</v>
      </c>
      <c r="I8">
        <f>-(C10/C9)</f>
        <v>-1.4</v>
      </c>
    </row>
    <row r="9" spans="1:15" x14ac:dyDescent="0.35">
      <c r="B9">
        <f>($I$3*B3)+B4</f>
        <v>0</v>
      </c>
      <c r="C9">
        <f t="shared" ref="C9:F9" si="0">($I$3*C3)+C4</f>
        <v>-5</v>
      </c>
      <c r="D9">
        <f t="shared" si="0"/>
        <v>-2</v>
      </c>
      <c r="E9">
        <f t="shared" si="0"/>
        <v>1</v>
      </c>
      <c r="F9">
        <f t="shared" si="0"/>
        <v>-6</v>
      </c>
      <c r="H9" t="s">
        <v>25</v>
      </c>
      <c r="I9">
        <f>-(C11/C9)</f>
        <v>-1</v>
      </c>
    </row>
    <row r="10" spans="1:15" x14ac:dyDescent="0.35">
      <c r="B10">
        <f>($I$4*B3)+B5</f>
        <v>0</v>
      </c>
      <c r="C10">
        <f t="shared" ref="C10:F10" si="1">($I$4*C3)+C5</f>
        <v>-7</v>
      </c>
      <c r="D10">
        <f t="shared" si="1"/>
        <v>-2</v>
      </c>
      <c r="E10">
        <f t="shared" si="1"/>
        <v>-3</v>
      </c>
      <c r="F10">
        <f t="shared" si="1"/>
        <v>-12</v>
      </c>
      <c r="L10" cm="1">
        <f t="array" ref="L10:L13">MMULT(_xlfn.ANCHORARRAY(L4),F3:F6)</f>
        <v>0.99999999999999989</v>
      </c>
    </row>
    <row r="11" spans="1:15" x14ac:dyDescent="0.35">
      <c r="B11">
        <f>($I$5*B3)+B6</f>
        <v>0</v>
      </c>
      <c r="C11">
        <f t="shared" ref="C11:F11" si="2">($I$5*C3)+C6</f>
        <v>-5</v>
      </c>
      <c r="D11">
        <f t="shared" si="2"/>
        <v>-3</v>
      </c>
      <c r="E11">
        <f t="shared" si="2"/>
        <v>-4</v>
      </c>
      <c r="F11">
        <f t="shared" si="2"/>
        <v>-12</v>
      </c>
      <c r="L11">
        <v>1.0000000000000004</v>
      </c>
    </row>
    <row r="12" spans="1:15" x14ac:dyDescent="0.35">
      <c r="L12">
        <v>0.99999999999999778</v>
      </c>
    </row>
    <row r="13" spans="1:15" x14ac:dyDescent="0.35">
      <c r="A13" t="s">
        <v>28</v>
      </c>
      <c r="B13">
        <f>B8</f>
        <v>1</v>
      </c>
      <c r="C13">
        <f>C8</f>
        <v>2</v>
      </c>
      <c r="D13">
        <f t="shared" ref="D13:F14" si="3">D8</f>
        <v>1</v>
      </c>
      <c r="E13">
        <f t="shared" si="3"/>
        <v>1</v>
      </c>
      <c r="F13">
        <f t="shared" si="3"/>
        <v>5</v>
      </c>
      <c r="H13" t="s">
        <v>15</v>
      </c>
      <c r="I13">
        <f>-(D16/D15)</f>
        <v>1.2500000000000002</v>
      </c>
      <c r="L13">
        <v>1</v>
      </c>
    </row>
    <row r="14" spans="1:15" x14ac:dyDescent="0.35">
      <c r="B14">
        <f>B9</f>
        <v>0</v>
      </c>
      <c r="C14">
        <f>C9</f>
        <v>-5</v>
      </c>
      <c r="D14">
        <f t="shared" si="3"/>
        <v>-2</v>
      </c>
      <c r="E14">
        <f t="shared" si="3"/>
        <v>1</v>
      </c>
      <c r="F14">
        <f>F9</f>
        <v>-6</v>
      </c>
    </row>
    <row r="15" spans="1:15" x14ac:dyDescent="0.35">
      <c r="B15">
        <f>($I$8*B14)+B10</f>
        <v>0</v>
      </c>
      <c r="C15">
        <f>($I$8*C14)+C10</f>
        <v>0</v>
      </c>
      <c r="D15">
        <f t="shared" ref="D15:F15" si="4">($I$8*D14)+D10</f>
        <v>0.79999999999999982</v>
      </c>
      <c r="E15">
        <f t="shared" si="4"/>
        <v>-4.4000000000000004</v>
      </c>
      <c r="F15">
        <f t="shared" si="4"/>
        <v>-3.6000000000000014</v>
      </c>
    </row>
    <row r="16" spans="1:15" x14ac:dyDescent="0.35">
      <c r="B16">
        <f>($I$9*B14)+B11</f>
        <v>0</v>
      </c>
      <c r="C16">
        <f>($I$9*C14)+C11</f>
        <v>0</v>
      </c>
      <c r="D16">
        <f t="shared" ref="D16:F16" si="5">($I$9*D14)+D11</f>
        <v>-1</v>
      </c>
      <c r="E16">
        <f t="shared" si="5"/>
        <v>-5</v>
      </c>
      <c r="F16">
        <f t="shared" si="5"/>
        <v>-6</v>
      </c>
    </row>
    <row r="18" spans="1:9" x14ac:dyDescent="0.35">
      <c r="A18" t="s">
        <v>29</v>
      </c>
      <c r="B18">
        <f>B13</f>
        <v>1</v>
      </c>
      <c r="C18">
        <f t="shared" ref="C18:F20" si="6">C13</f>
        <v>2</v>
      </c>
      <c r="D18">
        <f t="shared" si="6"/>
        <v>1</v>
      </c>
      <c r="E18">
        <f t="shared" si="6"/>
        <v>1</v>
      </c>
      <c r="F18">
        <f t="shared" si="6"/>
        <v>5</v>
      </c>
      <c r="H18" t="s">
        <v>30</v>
      </c>
      <c r="I18">
        <f>F21/E21</f>
        <v>1.0000000000000002</v>
      </c>
    </row>
    <row r="19" spans="1:9" x14ac:dyDescent="0.35">
      <c r="B19">
        <f>B14</f>
        <v>0</v>
      </c>
      <c r="C19">
        <f t="shared" si="6"/>
        <v>-5</v>
      </c>
      <c r="D19">
        <f t="shared" si="6"/>
        <v>-2</v>
      </c>
      <c r="E19">
        <f t="shared" si="6"/>
        <v>1</v>
      </c>
      <c r="F19">
        <f t="shared" si="6"/>
        <v>-6</v>
      </c>
      <c r="H19" t="s">
        <v>31</v>
      </c>
      <c r="I19">
        <f>(F20-(I18*E20))/D20</f>
        <v>1</v>
      </c>
    </row>
    <row r="20" spans="1:9" x14ac:dyDescent="0.35">
      <c r="B20">
        <f>B15</f>
        <v>0</v>
      </c>
      <c r="C20">
        <f t="shared" si="6"/>
        <v>0</v>
      </c>
      <c r="D20">
        <f t="shared" si="6"/>
        <v>0.79999999999999982</v>
      </c>
      <c r="E20">
        <f t="shared" si="6"/>
        <v>-4.4000000000000004</v>
      </c>
      <c r="F20">
        <f t="shared" si="6"/>
        <v>-3.6000000000000014</v>
      </c>
      <c r="H20" t="s">
        <v>32</v>
      </c>
      <c r="I20">
        <f>(F19-(E19*I18)-(D19*I19))/C19</f>
        <v>1</v>
      </c>
    </row>
    <row r="21" spans="1:9" x14ac:dyDescent="0.35">
      <c r="B21">
        <f t="shared" ref="B21:C21" si="7">($I$13*B20)+B16</f>
        <v>0</v>
      </c>
      <c r="C21">
        <f t="shared" si="7"/>
        <v>0</v>
      </c>
      <c r="D21">
        <f>($I$13*D20)+D16</f>
        <v>0</v>
      </c>
      <c r="E21">
        <f t="shared" ref="E21:F21" si="8">($I$13*E20)+E16</f>
        <v>-10.500000000000002</v>
      </c>
      <c r="F21">
        <f t="shared" si="8"/>
        <v>-10.500000000000004</v>
      </c>
      <c r="H21" t="s">
        <v>18</v>
      </c>
      <c r="I21">
        <f>(F18-(I18*E18)-(I19*D18)-(I20*C18))/B18</f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AD632-3894-49F7-8001-8D69FA683352}">
  <dimension ref="A1:O234"/>
  <sheetViews>
    <sheetView workbookViewId="0">
      <selection activeCell="A21" sqref="A21"/>
    </sheetView>
  </sheetViews>
  <sheetFormatPr defaultRowHeight="14.5" x14ac:dyDescent="0.35"/>
  <cols>
    <col min="1" max="1" width="24.453125" bestFit="1" customWidth="1"/>
    <col min="4" max="4" width="12.453125" bestFit="1" customWidth="1"/>
    <col min="5" max="7" width="9.453125" bestFit="1" customWidth="1"/>
    <col min="8" max="12" width="10.453125" bestFit="1" customWidth="1"/>
    <col min="13" max="14" width="9.453125" bestFit="1" customWidth="1"/>
  </cols>
  <sheetData>
    <row r="1" spans="1:15" x14ac:dyDescent="0.35">
      <c r="A1" s="5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 t="s">
        <v>40</v>
      </c>
      <c r="J1" s="6" t="s">
        <v>41</v>
      </c>
      <c r="K1" s="6" t="s">
        <v>42</v>
      </c>
      <c r="L1" s="6" t="s">
        <v>43</v>
      </c>
      <c r="M1" s="6" t="s">
        <v>44</v>
      </c>
    </row>
    <row r="2" spans="1:15" x14ac:dyDescent="0.35">
      <c r="A2" s="5" t="s">
        <v>45</v>
      </c>
      <c r="C2" s="6">
        <v>0</v>
      </c>
      <c r="D2" s="6">
        <v>0</v>
      </c>
      <c r="E2" s="7">
        <v>80</v>
      </c>
      <c r="F2" s="7">
        <v>15</v>
      </c>
      <c r="G2" s="7">
        <v>15</v>
      </c>
      <c r="H2" s="7">
        <v>15</v>
      </c>
      <c r="I2" s="7">
        <v>15</v>
      </c>
      <c r="J2" s="7">
        <v>15</v>
      </c>
      <c r="K2" s="7">
        <v>15</v>
      </c>
      <c r="L2" s="7">
        <v>15</v>
      </c>
      <c r="M2" s="7">
        <v>20</v>
      </c>
    </row>
    <row r="3" spans="1:15" x14ac:dyDescent="0.35">
      <c r="C3" s="6">
        <v>1</v>
      </c>
      <c r="D3" s="6">
        <v>0.02</v>
      </c>
      <c r="E3" s="7">
        <v>80</v>
      </c>
      <c r="F3" s="7">
        <f>(E2+G2)/2</f>
        <v>47.5</v>
      </c>
      <c r="G3" s="7">
        <f t="shared" ref="G3:L7" si="0">(F2+H2)/2</f>
        <v>15</v>
      </c>
      <c r="H3" s="7">
        <f t="shared" si="0"/>
        <v>15</v>
      </c>
      <c r="I3" s="7">
        <f t="shared" si="0"/>
        <v>15</v>
      </c>
      <c r="J3" s="7">
        <f t="shared" si="0"/>
        <v>15</v>
      </c>
      <c r="K3" s="7">
        <f t="shared" si="0"/>
        <v>15</v>
      </c>
      <c r="L3" s="7">
        <f t="shared" si="0"/>
        <v>17.5</v>
      </c>
      <c r="M3" s="7">
        <v>20</v>
      </c>
    </row>
    <row r="4" spans="1:15" x14ac:dyDescent="0.35">
      <c r="C4" s="6">
        <v>2</v>
      </c>
      <c r="D4" s="6">
        <v>0.04</v>
      </c>
      <c r="E4" s="7">
        <v>80</v>
      </c>
      <c r="F4" s="7">
        <f t="shared" ref="F4:F7" si="1">(E3+G3)/2</f>
        <v>47.5</v>
      </c>
      <c r="G4" s="7">
        <f t="shared" si="0"/>
        <v>31.25</v>
      </c>
      <c r="H4" s="7">
        <f t="shared" si="0"/>
        <v>15</v>
      </c>
      <c r="I4" s="7">
        <f t="shared" si="0"/>
        <v>15</v>
      </c>
      <c r="J4" s="7">
        <f t="shared" si="0"/>
        <v>15</v>
      </c>
      <c r="K4" s="7">
        <f t="shared" si="0"/>
        <v>16.25</v>
      </c>
      <c r="L4" s="7">
        <f t="shared" si="0"/>
        <v>17.5</v>
      </c>
      <c r="M4" s="7">
        <v>20</v>
      </c>
    </row>
    <row r="5" spans="1:15" x14ac:dyDescent="0.35">
      <c r="C5" s="6">
        <v>3</v>
      </c>
      <c r="D5" s="6">
        <v>0.06</v>
      </c>
      <c r="E5" s="7">
        <v>80</v>
      </c>
      <c r="F5" s="7">
        <f t="shared" si="1"/>
        <v>55.625</v>
      </c>
      <c r="G5" s="7">
        <f t="shared" si="0"/>
        <v>31.25</v>
      </c>
      <c r="H5" s="7">
        <f t="shared" si="0"/>
        <v>23.125</v>
      </c>
      <c r="I5" s="7">
        <f t="shared" si="0"/>
        <v>15</v>
      </c>
      <c r="J5" s="7">
        <f t="shared" si="0"/>
        <v>15.625</v>
      </c>
      <c r="K5" s="7">
        <f t="shared" si="0"/>
        <v>16.25</v>
      </c>
      <c r="L5" s="7">
        <f t="shared" si="0"/>
        <v>18.125</v>
      </c>
      <c r="M5" s="7">
        <v>20</v>
      </c>
    </row>
    <row r="6" spans="1:15" x14ac:dyDescent="0.35">
      <c r="C6" s="6">
        <v>4</v>
      </c>
      <c r="D6" s="6">
        <v>0.08</v>
      </c>
      <c r="E6" s="7">
        <v>80</v>
      </c>
      <c r="F6" s="7">
        <f t="shared" si="1"/>
        <v>55.625</v>
      </c>
      <c r="G6" s="7">
        <f t="shared" si="0"/>
        <v>39.375</v>
      </c>
      <c r="H6" s="7">
        <f t="shared" si="0"/>
        <v>23.125</v>
      </c>
      <c r="I6" s="7">
        <f t="shared" si="0"/>
        <v>19.375</v>
      </c>
      <c r="J6" s="7">
        <f t="shared" si="0"/>
        <v>15.625</v>
      </c>
      <c r="K6" s="7">
        <f t="shared" si="0"/>
        <v>16.875</v>
      </c>
      <c r="L6" s="7">
        <f t="shared" si="0"/>
        <v>18.125</v>
      </c>
      <c r="M6" s="7">
        <v>20</v>
      </c>
    </row>
    <row r="7" spans="1:15" x14ac:dyDescent="0.35">
      <c r="C7" s="6">
        <v>5</v>
      </c>
      <c r="D7" s="6">
        <v>0.1</v>
      </c>
      <c r="E7" s="7">
        <v>80</v>
      </c>
      <c r="F7" s="7">
        <f t="shared" si="1"/>
        <v>59.6875</v>
      </c>
      <c r="G7" s="7">
        <f t="shared" si="0"/>
        <v>39.375</v>
      </c>
      <c r="H7" s="7">
        <f t="shared" si="0"/>
        <v>29.375</v>
      </c>
      <c r="I7" s="7">
        <f t="shared" si="0"/>
        <v>19.375</v>
      </c>
      <c r="J7" s="7">
        <f t="shared" si="0"/>
        <v>18.125</v>
      </c>
      <c r="K7" s="7">
        <f t="shared" si="0"/>
        <v>16.875</v>
      </c>
      <c r="L7" s="7">
        <f t="shared" si="0"/>
        <v>18.4375</v>
      </c>
      <c r="M7" s="7">
        <v>20</v>
      </c>
    </row>
    <row r="10" spans="1:15" x14ac:dyDescent="0.35">
      <c r="A10" s="5" t="s">
        <v>46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43</v>
      </c>
      <c r="M10" t="s">
        <v>44</v>
      </c>
      <c r="N10" t="s">
        <v>47</v>
      </c>
      <c r="O10" t="s">
        <v>48</v>
      </c>
    </row>
    <row r="11" spans="1:15" x14ac:dyDescent="0.35">
      <c r="A11" s="5">
        <f>0.8/0.094*9</f>
        <v>76.595744680851055</v>
      </c>
      <c r="C11">
        <v>0</v>
      </c>
      <c r="D11" s="4">
        <v>0</v>
      </c>
      <c r="E11" s="4">
        <v>0</v>
      </c>
      <c r="F11" s="4">
        <f>1.5*(F10*3.2)</f>
        <v>4.8000000000000007</v>
      </c>
      <c r="G11" s="4">
        <f t="shared" ref="G11:J11" si="2">1.5*(G10*3.2)</f>
        <v>9.6000000000000014</v>
      </c>
      <c r="H11" s="4">
        <f t="shared" si="2"/>
        <v>14.400000000000002</v>
      </c>
      <c r="I11" s="4">
        <f t="shared" si="2"/>
        <v>19.200000000000003</v>
      </c>
      <c r="J11" s="4">
        <f t="shared" si="2"/>
        <v>24</v>
      </c>
      <c r="K11" s="4">
        <f>1.5*(32-K10*3.2)</f>
        <v>19.199999999999996</v>
      </c>
      <c r="L11" s="4">
        <f t="shared" ref="L11:O11" si="3">1.5*(32-L10*3.2)</f>
        <v>14.399999999999997</v>
      </c>
      <c r="M11" s="4">
        <f t="shared" si="3"/>
        <v>9.5999999999999979</v>
      </c>
      <c r="N11" s="4">
        <f t="shared" si="3"/>
        <v>4.7999999999999989</v>
      </c>
      <c r="O11">
        <f t="shared" si="3"/>
        <v>0</v>
      </c>
    </row>
    <row r="12" spans="1:15" x14ac:dyDescent="0.35">
      <c r="A12" s="5" t="s">
        <v>49</v>
      </c>
      <c r="C12">
        <v>1</v>
      </c>
      <c r="D12" s="4">
        <v>4.8668800000000001</v>
      </c>
      <c r="E12" s="4">
        <f>$E$11</f>
        <v>0</v>
      </c>
      <c r="F12" s="4">
        <f>(E11+G11)/2</f>
        <v>4.8000000000000007</v>
      </c>
      <c r="G12" s="4">
        <f t="shared" ref="G12:N28" si="4">(F11+H11)/2</f>
        <v>9.6000000000000014</v>
      </c>
      <c r="H12" s="4">
        <f t="shared" si="4"/>
        <v>14.400000000000002</v>
      </c>
      <c r="I12" s="4">
        <f t="shared" si="4"/>
        <v>19.200000000000003</v>
      </c>
      <c r="J12" s="4">
        <f t="shared" si="4"/>
        <v>19.2</v>
      </c>
      <c r="K12" s="4">
        <f t="shared" si="4"/>
        <v>19.2</v>
      </c>
      <c r="L12" s="4">
        <f t="shared" si="4"/>
        <v>14.399999999999997</v>
      </c>
      <c r="M12" s="4">
        <f t="shared" si="4"/>
        <v>9.5999999999999979</v>
      </c>
      <c r="N12" s="4">
        <f t="shared" si="4"/>
        <v>4.7999999999999989</v>
      </c>
      <c r="O12">
        <f>$O$11</f>
        <v>0</v>
      </c>
    </row>
    <row r="13" spans="1:15" x14ac:dyDescent="0.35">
      <c r="A13" s="5" t="s">
        <v>50</v>
      </c>
      <c r="C13">
        <v>2</v>
      </c>
      <c r="D13" s="4">
        <v>9.7337600000000002</v>
      </c>
      <c r="E13" s="4">
        <f>$E$11</f>
        <v>0</v>
      </c>
      <c r="F13" s="4">
        <f>(E12+G12)/2</f>
        <v>4.8000000000000007</v>
      </c>
      <c r="G13" s="4">
        <f t="shared" si="4"/>
        <v>9.6000000000000014</v>
      </c>
      <c r="H13" s="4">
        <f t="shared" si="4"/>
        <v>14.400000000000002</v>
      </c>
      <c r="I13" s="4">
        <f t="shared" si="4"/>
        <v>16.8</v>
      </c>
      <c r="J13" s="4">
        <f t="shared" si="4"/>
        <v>19.200000000000003</v>
      </c>
      <c r="K13" s="4">
        <f t="shared" si="4"/>
        <v>16.799999999999997</v>
      </c>
      <c r="L13" s="4">
        <f t="shared" si="4"/>
        <v>14.399999999999999</v>
      </c>
      <c r="M13" s="4">
        <f t="shared" si="4"/>
        <v>9.5999999999999979</v>
      </c>
      <c r="N13" s="4">
        <f t="shared" si="4"/>
        <v>4.7999999999999989</v>
      </c>
      <c r="O13">
        <f>$O$11</f>
        <v>0</v>
      </c>
    </row>
    <row r="14" spans="1:15" x14ac:dyDescent="0.35">
      <c r="A14" s="5" t="s">
        <v>51</v>
      </c>
      <c r="C14">
        <v>3</v>
      </c>
      <c r="D14" s="4">
        <v>14.60064</v>
      </c>
      <c r="E14" s="4">
        <f t="shared" ref="E14:E44" si="5">$E$11</f>
        <v>0</v>
      </c>
      <c r="F14" s="4">
        <f t="shared" ref="F14:N30" si="6">(E13+G13)/2</f>
        <v>4.8000000000000007</v>
      </c>
      <c r="G14" s="4">
        <f t="shared" si="4"/>
        <v>9.6000000000000014</v>
      </c>
      <c r="H14" s="4">
        <f t="shared" si="4"/>
        <v>13.200000000000001</v>
      </c>
      <c r="I14" s="4">
        <f t="shared" si="4"/>
        <v>16.800000000000004</v>
      </c>
      <c r="J14" s="4">
        <f t="shared" si="4"/>
        <v>16.799999999999997</v>
      </c>
      <c r="K14" s="4">
        <f t="shared" si="4"/>
        <v>16.8</v>
      </c>
      <c r="L14" s="4">
        <f t="shared" si="4"/>
        <v>13.199999999999998</v>
      </c>
      <c r="M14" s="4">
        <f t="shared" si="4"/>
        <v>9.5999999999999979</v>
      </c>
      <c r="N14" s="4">
        <f t="shared" si="4"/>
        <v>4.7999999999999989</v>
      </c>
      <c r="O14">
        <f t="shared" ref="O14:O44" si="7">$O$11</f>
        <v>0</v>
      </c>
    </row>
    <row r="15" spans="1:15" x14ac:dyDescent="0.35">
      <c r="C15">
        <v>4</v>
      </c>
      <c r="D15" s="4">
        <v>19.46752</v>
      </c>
      <c r="E15" s="4">
        <f t="shared" si="5"/>
        <v>0</v>
      </c>
      <c r="F15" s="4">
        <f t="shared" si="6"/>
        <v>4.8000000000000007</v>
      </c>
      <c r="G15" s="4">
        <f t="shared" si="4"/>
        <v>9</v>
      </c>
      <c r="H15" s="4">
        <f t="shared" si="4"/>
        <v>13.200000000000003</v>
      </c>
      <c r="I15" s="4">
        <f t="shared" si="4"/>
        <v>15</v>
      </c>
      <c r="J15" s="4">
        <f t="shared" si="4"/>
        <v>16.800000000000004</v>
      </c>
      <c r="K15" s="4">
        <f t="shared" si="4"/>
        <v>14.999999999999996</v>
      </c>
      <c r="L15" s="4">
        <f t="shared" si="4"/>
        <v>13.2</v>
      </c>
      <c r="M15" s="4">
        <f t="shared" si="4"/>
        <v>8.9999999999999982</v>
      </c>
      <c r="N15" s="4">
        <f t="shared" si="4"/>
        <v>4.7999999999999989</v>
      </c>
      <c r="O15">
        <f t="shared" si="7"/>
        <v>0</v>
      </c>
    </row>
    <row r="16" spans="1:15" x14ac:dyDescent="0.35">
      <c r="C16">
        <v>5</v>
      </c>
      <c r="D16" s="4">
        <v>24.334399999999999</v>
      </c>
      <c r="E16" s="4">
        <f t="shared" si="5"/>
        <v>0</v>
      </c>
      <c r="F16" s="4">
        <f t="shared" si="6"/>
        <v>4.5</v>
      </c>
      <c r="G16" s="4">
        <f t="shared" si="4"/>
        <v>9.0000000000000018</v>
      </c>
      <c r="H16" s="4">
        <f t="shared" si="4"/>
        <v>12</v>
      </c>
      <c r="I16" s="4">
        <f t="shared" si="4"/>
        <v>15.000000000000004</v>
      </c>
      <c r="J16" s="4">
        <f t="shared" si="4"/>
        <v>14.999999999999998</v>
      </c>
      <c r="K16" s="4">
        <f t="shared" si="4"/>
        <v>15.000000000000002</v>
      </c>
      <c r="L16" s="4">
        <f t="shared" si="4"/>
        <v>11.999999999999996</v>
      </c>
      <c r="M16" s="4">
        <f t="shared" si="4"/>
        <v>9</v>
      </c>
      <c r="N16" s="4">
        <f t="shared" si="4"/>
        <v>4.4999999999999991</v>
      </c>
      <c r="O16">
        <f t="shared" si="7"/>
        <v>0</v>
      </c>
    </row>
    <row r="17" spans="1:15" x14ac:dyDescent="0.35">
      <c r="C17">
        <v>6</v>
      </c>
      <c r="D17" s="4">
        <v>29.201280000000001</v>
      </c>
      <c r="E17" s="4">
        <f t="shared" si="5"/>
        <v>0</v>
      </c>
      <c r="F17" s="4">
        <f t="shared" si="6"/>
        <v>4.5000000000000009</v>
      </c>
      <c r="G17" s="4">
        <f t="shared" si="4"/>
        <v>8.25</v>
      </c>
      <c r="H17" s="4">
        <f t="shared" si="4"/>
        <v>12.000000000000004</v>
      </c>
      <c r="I17" s="4">
        <f t="shared" si="4"/>
        <v>13.5</v>
      </c>
      <c r="J17" s="4">
        <f t="shared" si="4"/>
        <v>15.000000000000004</v>
      </c>
      <c r="K17" s="4">
        <f t="shared" si="4"/>
        <v>13.499999999999996</v>
      </c>
      <c r="L17" s="4">
        <f t="shared" si="4"/>
        <v>12</v>
      </c>
      <c r="M17" s="4">
        <f t="shared" si="4"/>
        <v>8.2499999999999982</v>
      </c>
      <c r="N17" s="4">
        <f t="shared" si="4"/>
        <v>4.5</v>
      </c>
      <c r="O17">
        <f t="shared" si="7"/>
        <v>0</v>
      </c>
    </row>
    <row r="18" spans="1:15" x14ac:dyDescent="0.35">
      <c r="C18">
        <v>7</v>
      </c>
      <c r="D18" s="4">
        <v>34.068159999999999</v>
      </c>
      <c r="E18" s="4">
        <f t="shared" si="5"/>
        <v>0</v>
      </c>
      <c r="F18" s="4">
        <f t="shared" si="6"/>
        <v>4.125</v>
      </c>
      <c r="G18" s="4">
        <f t="shared" si="4"/>
        <v>8.2500000000000018</v>
      </c>
      <c r="H18" s="4">
        <f t="shared" si="4"/>
        <v>10.875</v>
      </c>
      <c r="I18" s="4">
        <f t="shared" si="4"/>
        <v>13.500000000000004</v>
      </c>
      <c r="J18" s="4">
        <f t="shared" si="4"/>
        <v>13.499999999999998</v>
      </c>
      <c r="K18" s="4">
        <f t="shared" si="4"/>
        <v>13.500000000000002</v>
      </c>
      <c r="L18" s="4">
        <f t="shared" si="4"/>
        <v>10.874999999999996</v>
      </c>
      <c r="M18" s="4">
        <f t="shared" si="4"/>
        <v>8.25</v>
      </c>
      <c r="N18" s="4">
        <f t="shared" si="4"/>
        <v>4.1249999999999991</v>
      </c>
      <c r="O18">
        <f t="shared" si="7"/>
        <v>0</v>
      </c>
    </row>
    <row r="19" spans="1:15" x14ac:dyDescent="0.35">
      <c r="C19">
        <v>8</v>
      </c>
      <c r="D19" s="4">
        <v>38.935040000000001</v>
      </c>
      <c r="E19" s="4">
        <f t="shared" si="5"/>
        <v>0</v>
      </c>
      <c r="F19" s="4">
        <f t="shared" si="6"/>
        <v>4.1250000000000009</v>
      </c>
      <c r="G19" s="4">
        <f t="shared" si="4"/>
        <v>7.5</v>
      </c>
      <c r="H19" s="4">
        <f t="shared" si="4"/>
        <v>10.875000000000004</v>
      </c>
      <c r="I19" s="4">
        <f t="shared" si="4"/>
        <v>12.1875</v>
      </c>
      <c r="J19" s="4">
        <f t="shared" si="4"/>
        <v>13.500000000000004</v>
      </c>
      <c r="K19" s="4">
        <f t="shared" si="4"/>
        <v>12.187499999999996</v>
      </c>
      <c r="L19" s="4">
        <f t="shared" si="4"/>
        <v>10.875</v>
      </c>
      <c r="M19" s="4">
        <f t="shared" si="4"/>
        <v>7.4999999999999982</v>
      </c>
      <c r="N19" s="4">
        <f t="shared" si="4"/>
        <v>4.125</v>
      </c>
      <c r="O19">
        <f t="shared" si="7"/>
        <v>0</v>
      </c>
    </row>
    <row r="20" spans="1:15" x14ac:dyDescent="0.35">
      <c r="C20">
        <v>9</v>
      </c>
      <c r="D20" s="4">
        <v>43.801920000000003</v>
      </c>
      <c r="E20" s="4">
        <f t="shared" si="5"/>
        <v>0</v>
      </c>
      <c r="F20" s="4">
        <f t="shared" si="6"/>
        <v>3.75</v>
      </c>
      <c r="G20" s="4">
        <f t="shared" si="4"/>
        <v>7.5000000000000018</v>
      </c>
      <c r="H20" s="4">
        <f t="shared" si="4"/>
        <v>9.84375</v>
      </c>
      <c r="I20" s="4">
        <f t="shared" si="4"/>
        <v>12.187500000000004</v>
      </c>
      <c r="J20" s="4">
        <f t="shared" si="4"/>
        <v>12.187499999999998</v>
      </c>
      <c r="K20" s="4">
        <f t="shared" si="4"/>
        <v>12.187500000000002</v>
      </c>
      <c r="L20" s="4">
        <f t="shared" si="4"/>
        <v>9.8437499999999964</v>
      </c>
      <c r="M20" s="4">
        <f t="shared" si="4"/>
        <v>7.5</v>
      </c>
      <c r="N20" s="4">
        <f t="shared" si="4"/>
        <v>3.7499999999999991</v>
      </c>
      <c r="O20">
        <f t="shared" si="7"/>
        <v>0</v>
      </c>
    </row>
    <row r="21" spans="1:15" x14ac:dyDescent="0.35">
      <c r="A21" s="8"/>
      <c r="C21">
        <v>10</v>
      </c>
      <c r="D21" s="4">
        <v>48.668799999999997</v>
      </c>
      <c r="E21" s="4">
        <f t="shared" si="5"/>
        <v>0</v>
      </c>
      <c r="F21" s="4">
        <f t="shared" si="6"/>
        <v>3.7500000000000009</v>
      </c>
      <c r="G21" s="4">
        <f t="shared" si="4"/>
        <v>6.796875</v>
      </c>
      <c r="H21" s="4">
        <f t="shared" si="4"/>
        <v>9.8437500000000036</v>
      </c>
      <c r="I21" s="4">
        <f t="shared" si="4"/>
        <v>11.015625</v>
      </c>
      <c r="J21" s="4">
        <f t="shared" si="4"/>
        <v>12.187500000000004</v>
      </c>
      <c r="K21" s="4">
        <f t="shared" si="4"/>
        <v>11.015624999999996</v>
      </c>
      <c r="L21" s="4">
        <f t="shared" si="4"/>
        <v>9.84375</v>
      </c>
      <c r="M21" s="4">
        <f t="shared" si="4"/>
        <v>6.7968749999999982</v>
      </c>
      <c r="N21" s="4">
        <f t="shared" si="4"/>
        <v>3.75</v>
      </c>
      <c r="O21">
        <f t="shared" si="7"/>
        <v>0</v>
      </c>
    </row>
    <row r="22" spans="1:15" x14ac:dyDescent="0.35">
      <c r="C22">
        <v>11</v>
      </c>
      <c r="D22" s="4">
        <v>53.535679999999999</v>
      </c>
      <c r="E22" s="4">
        <f t="shared" si="5"/>
        <v>0</v>
      </c>
      <c r="F22" s="4">
        <f t="shared" si="6"/>
        <v>3.3984375</v>
      </c>
      <c r="G22" s="4">
        <f t="shared" si="4"/>
        <v>6.7968750000000018</v>
      </c>
      <c r="H22" s="4">
        <f t="shared" si="4"/>
        <v>8.90625</v>
      </c>
      <c r="I22" s="4">
        <f t="shared" si="4"/>
        <v>11.015625000000004</v>
      </c>
      <c r="J22" s="4">
        <f t="shared" si="4"/>
        <v>11.015624999999998</v>
      </c>
      <c r="K22" s="4">
        <f t="shared" si="4"/>
        <v>11.015625000000002</v>
      </c>
      <c r="L22" s="4">
        <f t="shared" si="4"/>
        <v>8.9062499999999964</v>
      </c>
      <c r="M22" s="4">
        <f t="shared" si="4"/>
        <v>6.796875</v>
      </c>
      <c r="N22" s="4">
        <f t="shared" si="4"/>
        <v>3.3984374999999991</v>
      </c>
      <c r="O22">
        <f t="shared" si="7"/>
        <v>0</v>
      </c>
    </row>
    <row r="23" spans="1:15" x14ac:dyDescent="0.35">
      <c r="C23">
        <v>12</v>
      </c>
      <c r="D23" s="4">
        <v>58.402560000000001</v>
      </c>
      <c r="E23" s="4">
        <f t="shared" si="5"/>
        <v>0</v>
      </c>
      <c r="F23" s="4">
        <f t="shared" si="6"/>
        <v>3.3984375000000009</v>
      </c>
      <c r="G23" s="4">
        <f t="shared" si="4"/>
        <v>6.15234375</v>
      </c>
      <c r="H23" s="4">
        <f t="shared" si="4"/>
        <v>8.9062500000000036</v>
      </c>
      <c r="I23" s="4">
        <f t="shared" si="4"/>
        <v>9.9609375</v>
      </c>
      <c r="J23" s="4">
        <f t="shared" si="4"/>
        <v>11.015625000000004</v>
      </c>
      <c r="K23" s="4">
        <f t="shared" si="4"/>
        <v>9.9609374999999964</v>
      </c>
      <c r="L23" s="4">
        <f t="shared" si="4"/>
        <v>8.90625</v>
      </c>
      <c r="M23" s="4">
        <f t="shared" si="4"/>
        <v>6.1523437499999982</v>
      </c>
      <c r="N23" s="4">
        <f t="shared" si="4"/>
        <v>3.3984375</v>
      </c>
      <c r="O23">
        <f t="shared" si="7"/>
        <v>0</v>
      </c>
    </row>
    <row r="24" spans="1:15" x14ac:dyDescent="0.35">
      <c r="C24">
        <v>13</v>
      </c>
      <c r="D24" s="4">
        <v>63.269440000000003</v>
      </c>
      <c r="E24" s="4">
        <f t="shared" si="5"/>
        <v>0</v>
      </c>
      <c r="F24" s="4">
        <f t="shared" si="6"/>
        <v>3.076171875</v>
      </c>
      <c r="G24" s="4">
        <f t="shared" si="4"/>
        <v>6.1523437500000018</v>
      </c>
      <c r="H24" s="4">
        <f t="shared" si="4"/>
        <v>8.056640625</v>
      </c>
      <c r="I24" s="4">
        <f t="shared" si="4"/>
        <v>9.9609375000000036</v>
      </c>
      <c r="J24" s="4">
        <f t="shared" si="4"/>
        <v>9.9609374999999982</v>
      </c>
      <c r="K24" s="4">
        <f t="shared" si="4"/>
        <v>9.9609375000000018</v>
      </c>
      <c r="L24" s="4">
        <f t="shared" si="4"/>
        <v>8.0566406249999964</v>
      </c>
      <c r="M24" s="4">
        <f t="shared" si="4"/>
        <v>6.15234375</v>
      </c>
      <c r="N24" s="4">
        <f t="shared" si="4"/>
        <v>3.0761718749999991</v>
      </c>
      <c r="O24">
        <f t="shared" si="7"/>
        <v>0</v>
      </c>
    </row>
    <row r="25" spans="1:15" x14ac:dyDescent="0.35">
      <c r="C25">
        <v>14</v>
      </c>
      <c r="D25" s="4">
        <v>68.136319999999998</v>
      </c>
      <c r="E25" s="4">
        <f t="shared" si="5"/>
        <v>0</v>
      </c>
      <c r="F25" s="4">
        <f t="shared" si="6"/>
        <v>3.0761718750000009</v>
      </c>
      <c r="G25" s="4">
        <f t="shared" si="4"/>
        <v>5.56640625</v>
      </c>
      <c r="H25" s="4">
        <f t="shared" si="4"/>
        <v>8.0566406250000036</v>
      </c>
      <c r="I25" s="4">
        <f t="shared" si="4"/>
        <v>9.0087890625</v>
      </c>
      <c r="J25" s="4">
        <f t="shared" si="4"/>
        <v>9.9609375000000036</v>
      </c>
      <c r="K25" s="4">
        <f t="shared" si="4"/>
        <v>9.0087890624999964</v>
      </c>
      <c r="L25" s="4">
        <f t="shared" si="4"/>
        <v>8.056640625</v>
      </c>
      <c r="M25" s="4">
        <f t="shared" si="4"/>
        <v>5.5664062499999982</v>
      </c>
      <c r="N25" s="4">
        <f t="shared" si="4"/>
        <v>3.076171875</v>
      </c>
      <c r="O25">
        <f t="shared" si="7"/>
        <v>0</v>
      </c>
    </row>
    <row r="26" spans="1:15" x14ac:dyDescent="0.35">
      <c r="C26">
        <v>15</v>
      </c>
      <c r="D26" s="4">
        <v>73.003200000000007</v>
      </c>
      <c r="E26" s="4">
        <f t="shared" si="5"/>
        <v>0</v>
      </c>
      <c r="F26" s="4">
        <f t="shared" si="6"/>
        <v>2.783203125</v>
      </c>
      <c r="G26" s="4">
        <f t="shared" si="4"/>
        <v>5.5664062500000018</v>
      </c>
      <c r="H26" s="4">
        <f t="shared" si="4"/>
        <v>7.28759765625</v>
      </c>
      <c r="I26" s="4">
        <f t="shared" si="4"/>
        <v>9.0087890625000036</v>
      </c>
      <c r="J26" s="4">
        <f t="shared" si="4"/>
        <v>9.0087890624999982</v>
      </c>
      <c r="K26" s="4">
        <f t="shared" si="4"/>
        <v>9.0087890625000018</v>
      </c>
      <c r="L26" s="4">
        <f t="shared" si="4"/>
        <v>7.2875976562499973</v>
      </c>
      <c r="M26" s="4">
        <f t="shared" si="4"/>
        <v>5.56640625</v>
      </c>
      <c r="N26" s="4">
        <f t="shared" si="4"/>
        <v>2.7832031249999991</v>
      </c>
      <c r="O26">
        <f t="shared" si="7"/>
        <v>0</v>
      </c>
    </row>
    <row r="27" spans="1:15" x14ac:dyDescent="0.35">
      <c r="C27">
        <v>16</v>
      </c>
      <c r="D27" s="4">
        <v>77.870080000000002</v>
      </c>
      <c r="E27" s="4">
        <f t="shared" si="5"/>
        <v>0</v>
      </c>
      <c r="F27" s="4">
        <f t="shared" si="6"/>
        <v>2.7832031250000009</v>
      </c>
      <c r="G27" s="4">
        <f t="shared" si="4"/>
        <v>5.035400390625</v>
      </c>
      <c r="H27" s="4">
        <f t="shared" si="4"/>
        <v>7.2875976562500027</v>
      </c>
      <c r="I27" s="4">
        <f t="shared" si="4"/>
        <v>8.148193359375</v>
      </c>
      <c r="J27" s="4">
        <f t="shared" si="4"/>
        <v>9.0087890625000036</v>
      </c>
      <c r="K27" s="4">
        <f t="shared" si="4"/>
        <v>8.1481933593749982</v>
      </c>
      <c r="L27" s="4">
        <f t="shared" si="4"/>
        <v>7.2875976562500009</v>
      </c>
      <c r="M27" s="4">
        <f t="shared" si="4"/>
        <v>5.0354003906249982</v>
      </c>
      <c r="N27" s="4">
        <f t="shared" si="4"/>
        <v>2.783203125</v>
      </c>
      <c r="O27">
        <f t="shared" si="7"/>
        <v>0</v>
      </c>
    </row>
    <row r="28" spans="1:15" x14ac:dyDescent="0.35">
      <c r="C28">
        <v>17</v>
      </c>
      <c r="D28" s="4">
        <v>82.736959999999996</v>
      </c>
      <c r="E28" s="4">
        <f t="shared" si="5"/>
        <v>0</v>
      </c>
      <c r="F28" s="4">
        <f t="shared" si="6"/>
        <v>2.5177001953125</v>
      </c>
      <c r="G28" s="4">
        <f t="shared" si="4"/>
        <v>5.0354003906250018</v>
      </c>
      <c r="H28" s="4">
        <f t="shared" si="4"/>
        <v>6.591796875</v>
      </c>
      <c r="I28" s="4">
        <f t="shared" si="4"/>
        <v>8.1481933593750036</v>
      </c>
      <c r="J28" s="4">
        <f t="shared" si="4"/>
        <v>8.148193359375</v>
      </c>
      <c r="K28" s="4">
        <f t="shared" si="4"/>
        <v>8.1481933593750018</v>
      </c>
      <c r="L28" s="4">
        <f t="shared" si="4"/>
        <v>6.5917968749999982</v>
      </c>
      <c r="M28" s="4">
        <f t="shared" si="4"/>
        <v>5.035400390625</v>
      </c>
      <c r="N28" s="4">
        <f t="shared" si="4"/>
        <v>2.5177001953124991</v>
      </c>
      <c r="O28">
        <f t="shared" si="7"/>
        <v>0</v>
      </c>
    </row>
    <row r="29" spans="1:15" x14ac:dyDescent="0.35">
      <c r="C29">
        <v>18</v>
      </c>
      <c r="D29" s="4">
        <v>87.603840000000005</v>
      </c>
      <c r="E29" s="4">
        <f t="shared" si="5"/>
        <v>0</v>
      </c>
      <c r="F29" s="4">
        <f t="shared" si="6"/>
        <v>2.5177001953125009</v>
      </c>
      <c r="G29" s="4">
        <f t="shared" si="6"/>
        <v>4.55474853515625</v>
      </c>
      <c r="H29" s="4">
        <f t="shared" si="6"/>
        <v>6.5917968750000027</v>
      </c>
      <c r="I29" s="4">
        <f t="shared" si="6"/>
        <v>7.3699951171875</v>
      </c>
      <c r="J29" s="4">
        <f t="shared" si="6"/>
        <v>8.1481933593750036</v>
      </c>
      <c r="K29" s="4">
        <f t="shared" si="6"/>
        <v>7.3699951171874991</v>
      </c>
      <c r="L29" s="4">
        <f t="shared" si="6"/>
        <v>6.5917968750000009</v>
      </c>
      <c r="M29" s="4">
        <f t="shared" si="6"/>
        <v>4.5547485351562482</v>
      </c>
      <c r="N29" s="4">
        <f t="shared" si="6"/>
        <v>2.5177001953125</v>
      </c>
      <c r="O29">
        <f t="shared" si="7"/>
        <v>0</v>
      </c>
    </row>
    <row r="30" spans="1:15" x14ac:dyDescent="0.35">
      <c r="C30">
        <v>19</v>
      </c>
      <c r="D30" s="4">
        <v>92.47072</v>
      </c>
      <c r="E30" s="4">
        <f t="shared" si="5"/>
        <v>0</v>
      </c>
      <c r="F30" s="4">
        <f t="shared" si="6"/>
        <v>2.277374267578125</v>
      </c>
      <c r="G30" s="4">
        <f t="shared" si="6"/>
        <v>4.5547485351562518</v>
      </c>
      <c r="H30" s="4">
        <f t="shared" si="6"/>
        <v>5.962371826171875</v>
      </c>
      <c r="I30" s="4">
        <f t="shared" si="6"/>
        <v>7.3699951171875036</v>
      </c>
      <c r="J30" s="4">
        <f t="shared" si="6"/>
        <v>7.3699951171875</v>
      </c>
      <c r="K30" s="4">
        <f t="shared" si="6"/>
        <v>7.3699951171875018</v>
      </c>
      <c r="L30" s="4">
        <f t="shared" si="6"/>
        <v>5.9623718261718732</v>
      </c>
      <c r="M30" s="4">
        <f t="shared" si="6"/>
        <v>4.55474853515625</v>
      </c>
      <c r="N30" s="4">
        <f t="shared" si="6"/>
        <v>2.2773742675781241</v>
      </c>
      <c r="O30">
        <f t="shared" si="7"/>
        <v>0</v>
      </c>
    </row>
    <row r="31" spans="1:15" x14ac:dyDescent="0.35">
      <c r="C31">
        <v>20</v>
      </c>
      <c r="D31" s="4">
        <v>97.337599999999995</v>
      </c>
      <c r="E31" s="4">
        <f t="shared" si="5"/>
        <v>0</v>
      </c>
      <c r="F31" s="4">
        <f t="shared" ref="F31:N46" si="8">(E30+G30)/2</f>
        <v>2.2773742675781259</v>
      </c>
      <c r="G31" s="4">
        <f t="shared" si="8"/>
        <v>4.119873046875</v>
      </c>
      <c r="H31" s="4">
        <f t="shared" si="8"/>
        <v>5.9623718261718777</v>
      </c>
      <c r="I31" s="4">
        <f t="shared" si="8"/>
        <v>6.6661834716796875</v>
      </c>
      <c r="J31" s="4">
        <f t="shared" si="8"/>
        <v>7.3699951171875027</v>
      </c>
      <c r="K31" s="4">
        <f t="shared" si="8"/>
        <v>6.6661834716796866</v>
      </c>
      <c r="L31" s="4">
        <f t="shared" si="8"/>
        <v>5.9623718261718759</v>
      </c>
      <c r="M31" s="4">
        <f t="shared" si="8"/>
        <v>4.1198730468749982</v>
      </c>
      <c r="N31" s="4">
        <f t="shared" si="8"/>
        <v>2.277374267578125</v>
      </c>
      <c r="O31">
        <f t="shared" si="7"/>
        <v>0</v>
      </c>
    </row>
    <row r="32" spans="1:15" x14ac:dyDescent="0.35">
      <c r="C32">
        <v>21</v>
      </c>
      <c r="D32" s="4">
        <v>102.20448</v>
      </c>
      <c r="E32" s="4">
        <f t="shared" si="5"/>
        <v>0</v>
      </c>
      <c r="F32" s="4">
        <f t="shared" si="8"/>
        <v>2.0599365234375</v>
      </c>
      <c r="G32" s="4">
        <f t="shared" si="8"/>
        <v>4.1198730468750018</v>
      </c>
      <c r="H32" s="4">
        <f t="shared" si="8"/>
        <v>5.3930282592773438</v>
      </c>
      <c r="I32" s="4">
        <f t="shared" si="8"/>
        <v>6.6661834716796902</v>
      </c>
      <c r="J32" s="4">
        <f t="shared" si="8"/>
        <v>6.6661834716796875</v>
      </c>
      <c r="K32" s="4">
        <f t="shared" si="8"/>
        <v>6.6661834716796893</v>
      </c>
      <c r="L32" s="4">
        <f t="shared" si="8"/>
        <v>5.393028259277342</v>
      </c>
      <c r="M32" s="4">
        <f t="shared" si="8"/>
        <v>4.119873046875</v>
      </c>
      <c r="N32" s="4">
        <f t="shared" si="8"/>
        <v>2.0599365234374991</v>
      </c>
      <c r="O32">
        <f t="shared" si="7"/>
        <v>0</v>
      </c>
    </row>
    <row r="33" spans="3:15" x14ac:dyDescent="0.35">
      <c r="C33">
        <v>22</v>
      </c>
      <c r="D33" s="4">
        <v>107.07136</v>
      </c>
      <c r="E33" s="4">
        <f t="shared" si="5"/>
        <v>0</v>
      </c>
      <c r="F33" s="4">
        <f t="shared" si="8"/>
        <v>2.0599365234375009</v>
      </c>
      <c r="G33" s="4">
        <f t="shared" si="8"/>
        <v>3.7264823913574219</v>
      </c>
      <c r="H33" s="4">
        <f t="shared" si="8"/>
        <v>5.3930282592773455</v>
      </c>
      <c r="I33" s="4">
        <f t="shared" si="8"/>
        <v>6.0296058654785156</v>
      </c>
      <c r="J33" s="4">
        <f t="shared" si="8"/>
        <v>6.6661834716796893</v>
      </c>
      <c r="K33" s="4">
        <f t="shared" si="8"/>
        <v>6.0296058654785147</v>
      </c>
      <c r="L33" s="4">
        <f t="shared" si="8"/>
        <v>5.3930282592773446</v>
      </c>
      <c r="M33" s="4">
        <f t="shared" si="8"/>
        <v>3.7264823913574205</v>
      </c>
      <c r="N33" s="4">
        <f t="shared" si="8"/>
        <v>2.0599365234375</v>
      </c>
      <c r="O33">
        <f t="shared" si="7"/>
        <v>0</v>
      </c>
    </row>
    <row r="34" spans="3:15" x14ac:dyDescent="0.35">
      <c r="C34">
        <v>23</v>
      </c>
      <c r="D34" s="4">
        <v>111.93823999999999</v>
      </c>
      <c r="E34" s="4">
        <f t="shared" si="5"/>
        <v>0</v>
      </c>
      <c r="F34" s="4">
        <f t="shared" si="8"/>
        <v>1.8632411956787109</v>
      </c>
      <c r="G34" s="4">
        <f t="shared" si="8"/>
        <v>3.7264823913574232</v>
      </c>
      <c r="H34" s="4">
        <f t="shared" si="8"/>
        <v>4.8780441284179688</v>
      </c>
      <c r="I34" s="4">
        <f t="shared" si="8"/>
        <v>6.0296058654785174</v>
      </c>
      <c r="J34" s="4">
        <f t="shared" si="8"/>
        <v>6.0296058654785156</v>
      </c>
      <c r="K34" s="4">
        <f t="shared" si="8"/>
        <v>6.0296058654785174</v>
      </c>
      <c r="L34" s="4">
        <f t="shared" si="8"/>
        <v>4.8780441284179679</v>
      </c>
      <c r="M34" s="4">
        <f t="shared" si="8"/>
        <v>3.7264823913574223</v>
      </c>
      <c r="N34" s="4">
        <f t="shared" si="8"/>
        <v>1.8632411956787103</v>
      </c>
      <c r="O34">
        <f t="shared" si="7"/>
        <v>0</v>
      </c>
    </row>
    <row r="35" spans="3:15" x14ac:dyDescent="0.35">
      <c r="C35">
        <v>24</v>
      </c>
      <c r="D35" s="4">
        <v>116.80512</v>
      </c>
      <c r="E35" s="4">
        <f t="shared" si="5"/>
        <v>0</v>
      </c>
      <c r="F35" s="4">
        <f t="shared" si="8"/>
        <v>1.8632411956787116</v>
      </c>
      <c r="G35" s="4">
        <f t="shared" si="8"/>
        <v>3.3706426620483398</v>
      </c>
      <c r="H35" s="4">
        <f t="shared" si="8"/>
        <v>4.8780441284179705</v>
      </c>
      <c r="I35" s="4">
        <f t="shared" si="8"/>
        <v>5.4538249969482422</v>
      </c>
      <c r="J35" s="4">
        <f t="shared" si="8"/>
        <v>6.0296058654785174</v>
      </c>
      <c r="K35" s="4">
        <f t="shared" si="8"/>
        <v>5.4538249969482422</v>
      </c>
      <c r="L35" s="4">
        <f t="shared" si="8"/>
        <v>4.8780441284179696</v>
      </c>
      <c r="M35" s="4">
        <f t="shared" si="8"/>
        <v>3.370642662048339</v>
      </c>
      <c r="N35" s="4">
        <f t="shared" si="8"/>
        <v>1.8632411956787112</v>
      </c>
      <c r="O35">
        <f t="shared" si="7"/>
        <v>0</v>
      </c>
    </row>
    <row r="36" spans="3:15" x14ac:dyDescent="0.35">
      <c r="C36">
        <v>25</v>
      </c>
      <c r="D36" s="4">
        <v>121.672</v>
      </c>
      <c r="E36" s="4">
        <f t="shared" si="5"/>
        <v>0</v>
      </c>
      <c r="F36" s="4">
        <f t="shared" si="8"/>
        <v>1.6853213310241699</v>
      </c>
      <c r="G36" s="4">
        <f t="shared" si="8"/>
        <v>3.3706426620483412</v>
      </c>
      <c r="H36" s="4">
        <f t="shared" si="8"/>
        <v>4.412233829498291</v>
      </c>
      <c r="I36" s="4">
        <f t="shared" si="8"/>
        <v>5.453824996948244</v>
      </c>
      <c r="J36" s="4">
        <f t="shared" si="8"/>
        <v>5.4538249969482422</v>
      </c>
      <c r="K36" s="4">
        <f t="shared" si="8"/>
        <v>5.453824996948244</v>
      </c>
      <c r="L36" s="4">
        <f t="shared" si="8"/>
        <v>4.412233829498291</v>
      </c>
      <c r="M36" s="4">
        <f t="shared" si="8"/>
        <v>3.3706426620483403</v>
      </c>
      <c r="N36" s="4">
        <f t="shared" si="8"/>
        <v>1.6853213310241695</v>
      </c>
      <c r="O36">
        <f t="shared" si="7"/>
        <v>0</v>
      </c>
    </row>
    <row r="37" spans="3:15" x14ac:dyDescent="0.35">
      <c r="C37">
        <v>26</v>
      </c>
      <c r="D37" s="4">
        <v>126.53888000000001</v>
      </c>
      <c r="E37" s="4">
        <f t="shared" si="5"/>
        <v>0</v>
      </c>
      <c r="F37" s="4">
        <f t="shared" si="8"/>
        <v>1.6853213310241706</v>
      </c>
      <c r="G37" s="4">
        <f t="shared" si="8"/>
        <v>3.0487775802612305</v>
      </c>
      <c r="H37" s="4">
        <f t="shared" si="8"/>
        <v>4.4122338294982928</v>
      </c>
      <c r="I37" s="4">
        <f t="shared" si="8"/>
        <v>4.9330294132232666</v>
      </c>
      <c r="J37" s="4">
        <f t="shared" si="8"/>
        <v>5.453824996948244</v>
      </c>
      <c r="K37" s="4">
        <f t="shared" si="8"/>
        <v>4.9330294132232666</v>
      </c>
      <c r="L37" s="4">
        <f t="shared" si="8"/>
        <v>4.4122338294982919</v>
      </c>
      <c r="M37" s="4">
        <f t="shared" si="8"/>
        <v>3.0487775802612305</v>
      </c>
      <c r="N37" s="4">
        <f t="shared" si="8"/>
        <v>1.6853213310241701</v>
      </c>
      <c r="O37">
        <f t="shared" si="7"/>
        <v>0</v>
      </c>
    </row>
    <row r="38" spans="3:15" x14ac:dyDescent="0.35">
      <c r="C38">
        <v>27</v>
      </c>
      <c r="D38" s="4">
        <v>131.40575999999999</v>
      </c>
      <c r="E38" s="4">
        <f t="shared" si="5"/>
        <v>0</v>
      </c>
      <c r="F38" s="4">
        <f t="shared" si="8"/>
        <v>1.5243887901306152</v>
      </c>
      <c r="G38" s="4">
        <f t="shared" si="8"/>
        <v>3.0487775802612318</v>
      </c>
      <c r="H38" s="4">
        <f t="shared" si="8"/>
        <v>3.9909034967422485</v>
      </c>
      <c r="I38" s="4">
        <f t="shared" si="8"/>
        <v>4.9330294132232684</v>
      </c>
      <c r="J38" s="4">
        <f t="shared" si="8"/>
        <v>4.9330294132232666</v>
      </c>
      <c r="K38" s="4">
        <f t="shared" si="8"/>
        <v>4.9330294132232684</v>
      </c>
      <c r="L38" s="4">
        <f t="shared" si="8"/>
        <v>3.9909034967422485</v>
      </c>
      <c r="M38" s="4">
        <f t="shared" si="8"/>
        <v>3.0487775802612309</v>
      </c>
      <c r="N38" s="4">
        <f t="shared" si="8"/>
        <v>1.5243887901306152</v>
      </c>
      <c r="O38">
        <f t="shared" si="7"/>
        <v>0</v>
      </c>
    </row>
    <row r="39" spans="3:15" x14ac:dyDescent="0.35">
      <c r="C39">
        <v>28</v>
      </c>
      <c r="D39" s="4">
        <v>136.27264</v>
      </c>
      <c r="E39" s="4">
        <f t="shared" si="5"/>
        <v>0</v>
      </c>
      <c r="F39" s="4">
        <f t="shared" si="8"/>
        <v>1.5243887901306159</v>
      </c>
      <c r="G39" s="4">
        <f t="shared" si="8"/>
        <v>2.7576461434364319</v>
      </c>
      <c r="H39" s="4">
        <f t="shared" si="8"/>
        <v>3.9909034967422503</v>
      </c>
      <c r="I39" s="4">
        <f t="shared" si="8"/>
        <v>4.4619664549827576</v>
      </c>
      <c r="J39" s="4">
        <f t="shared" si="8"/>
        <v>4.9330294132232684</v>
      </c>
      <c r="K39" s="4">
        <f t="shared" si="8"/>
        <v>4.4619664549827576</v>
      </c>
      <c r="L39" s="4">
        <f t="shared" si="8"/>
        <v>3.9909034967422494</v>
      </c>
      <c r="M39" s="4">
        <f t="shared" si="8"/>
        <v>2.7576461434364319</v>
      </c>
      <c r="N39" s="4">
        <f t="shared" si="8"/>
        <v>1.5243887901306155</v>
      </c>
      <c r="O39">
        <f t="shared" si="7"/>
        <v>0</v>
      </c>
    </row>
    <row r="40" spans="3:15" x14ac:dyDescent="0.35">
      <c r="C40">
        <v>29</v>
      </c>
      <c r="D40" s="4">
        <v>141.13952</v>
      </c>
      <c r="E40" s="4">
        <f t="shared" si="5"/>
        <v>0</v>
      </c>
      <c r="F40" s="4">
        <f t="shared" si="8"/>
        <v>1.3788230717182159</v>
      </c>
      <c r="G40" s="4">
        <f t="shared" si="8"/>
        <v>2.7576461434364332</v>
      </c>
      <c r="H40" s="4">
        <f t="shared" si="8"/>
        <v>3.6098062992095947</v>
      </c>
      <c r="I40" s="4">
        <f t="shared" si="8"/>
        <v>4.4619664549827593</v>
      </c>
      <c r="J40" s="4">
        <f t="shared" si="8"/>
        <v>4.4619664549827576</v>
      </c>
      <c r="K40" s="4">
        <f t="shared" si="8"/>
        <v>4.4619664549827593</v>
      </c>
      <c r="L40" s="4">
        <f t="shared" si="8"/>
        <v>3.6098062992095947</v>
      </c>
      <c r="M40" s="4">
        <f t="shared" si="8"/>
        <v>2.7576461434364323</v>
      </c>
      <c r="N40" s="4">
        <f t="shared" si="8"/>
        <v>1.3788230717182159</v>
      </c>
      <c r="O40">
        <f t="shared" si="7"/>
        <v>0</v>
      </c>
    </row>
    <row r="41" spans="3:15" x14ac:dyDescent="0.35">
      <c r="C41">
        <v>30</v>
      </c>
      <c r="D41" s="4">
        <v>146.00640000000001</v>
      </c>
      <c r="E41" s="4">
        <f t="shared" si="5"/>
        <v>0</v>
      </c>
      <c r="F41" s="4">
        <f t="shared" si="8"/>
        <v>1.3788230717182166</v>
      </c>
      <c r="G41" s="4">
        <f t="shared" si="8"/>
        <v>2.4943146854639053</v>
      </c>
      <c r="H41" s="4">
        <f t="shared" si="8"/>
        <v>3.6098062992095965</v>
      </c>
      <c r="I41" s="4">
        <f t="shared" si="8"/>
        <v>4.0358863770961761</v>
      </c>
      <c r="J41" s="4">
        <f t="shared" si="8"/>
        <v>4.4619664549827593</v>
      </c>
      <c r="K41" s="4">
        <f t="shared" si="8"/>
        <v>4.0358863770961761</v>
      </c>
      <c r="L41" s="4">
        <f t="shared" si="8"/>
        <v>3.6098062992095956</v>
      </c>
      <c r="M41" s="4">
        <f t="shared" si="8"/>
        <v>2.4943146854639053</v>
      </c>
      <c r="N41" s="4">
        <f t="shared" si="8"/>
        <v>1.3788230717182162</v>
      </c>
      <c r="O41">
        <f t="shared" si="7"/>
        <v>0</v>
      </c>
    </row>
    <row r="42" spans="3:15" x14ac:dyDescent="0.35">
      <c r="C42">
        <v>31</v>
      </c>
      <c r="D42" s="4">
        <v>150.87327999999999</v>
      </c>
      <c r="E42" s="4">
        <f t="shared" si="5"/>
        <v>0</v>
      </c>
      <c r="F42" s="4">
        <f t="shared" si="8"/>
        <v>1.2471573427319527</v>
      </c>
      <c r="G42" s="4">
        <f t="shared" si="8"/>
        <v>2.4943146854639067</v>
      </c>
      <c r="H42" s="4">
        <f t="shared" si="8"/>
        <v>3.2651005312800407</v>
      </c>
      <c r="I42" s="4">
        <f t="shared" si="8"/>
        <v>4.0358863770961779</v>
      </c>
      <c r="J42" s="4">
        <f t="shared" si="8"/>
        <v>4.0358863770961761</v>
      </c>
      <c r="K42" s="4">
        <f t="shared" si="8"/>
        <v>4.0358863770961779</v>
      </c>
      <c r="L42" s="4">
        <f t="shared" si="8"/>
        <v>3.2651005312800407</v>
      </c>
      <c r="M42" s="4">
        <f t="shared" si="8"/>
        <v>2.4943146854639058</v>
      </c>
      <c r="N42" s="4">
        <f t="shared" si="8"/>
        <v>1.2471573427319527</v>
      </c>
      <c r="O42">
        <f t="shared" si="7"/>
        <v>0</v>
      </c>
    </row>
    <row r="43" spans="3:15" x14ac:dyDescent="0.35">
      <c r="C43">
        <v>32</v>
      </c>
      <c r="D43" s="4">
        <v>155.74016</v>
      </c>
      <c r="E43" s="4">
        <f t="shared" si="5"/>
        <v>0</v>
      </c>
      <c r="F43" s="4">
        <f t="shared" si="8"/>
        <v>1.2471573427319533</v>
      </c>
      <c r="G43" s="4">
        <f t="shared" si="8"/>
        <v>2.2561289370059967</v>
      </c>
      <c r="H43" s="4">
        <f t="shared" si="8"/>
        <v>3.2651005312800425</v>
      </c>
      <c r="I43" s="4">
        <f t="shared" si="8"/>
        <v>3.6504934541881084</v>
      </c>
      <c r="J43" s="4">
        <f t="shared" si="8"/>
        <v>4.0358863770961779</v>
      </c>
      <c r="K43" s="4">
        <f t="shared" si="8"/>
        <v>3.6504934541881084</v>
      </c>
      <c r="L43" s="4">
        <f t="shared" si="8"/>
        <v>3.2651005312800416</v>
      </c>
      <c r="M43" s="4">
        <f t="shared" si="8"/>
        <v>2.2561289370059967</v>
      </c>
      <c r="N43" s="4">
        <f t="shared" si="8"/>
        <v>1.2471573427319529</v>
      </c>
      <c r="O43">
        <f t="shared" si="7"/>
        <v>0</v>
      </c>
    </row>
    <row r="44" spans="3:15" x14ac:dyDescent="0.35">
      <c r="C44">
        <v>33</v>
      </c>
      <c r="D44" s="4">
        <v>160.60704000000001</v>
      </c>
      <c r="E44" s="4">
        <f t="shared" si="5"/>
        <v>0</v>
      </c>
      <c r="F44" s="4">
        <f t="shared" si="8"/>
        <v>1.1280644685029984</v>
      </c>
      <c r="G44" s="4">
        <f t="shared" si="8"/>
        <v>2.256128937005998</v>
      </c>
      <c r="H44" s="4">
        <f t="shared" si="8"/>
        <v>2.9533111955970526</v>
      </c>
      <c r="I44" s="4">
        <f t="shared" si="8"/>
        <v>3.6504934541881102</v>
      </c>
      <c r="J44" s="4">
        <f t="shared" si="8"/>
        <v>3.6504934541881084</v>
      </c>
      <c r="K44" s="4">
        <f t="shared" si="8"/>
        <v>3.6504934541881098</v>
      </c>
      <c r="L44" s="4">
        <f t="shared" si="8"/>
        <v>2.9533111955970526</v>
      </c>
      <c r="M44" s="4">
        <f t="shared" si="8"/>
        <v>2.2561289370059971</v>
      </c>
      <c r="N44" s="4">
        <f t="shared" si="8"/>
        <v>1.1280644685029984</v>
      </c>
      <c r="O44">
        <f t="shared" si="7"/>
        <v>0</v>
      </c>
    </row>
    <row r="45" spans="3:15" x14ac:dyDescent="0.35">
      <c r="C45">
        <v>34</v>
      </c>
      <c r="D45" s="4">
        <v>165.47391999999999</v>
      </c>
      <c r="E45" s="4">
        <f>$E$11</f>
        <v>0</v>
      </c>
      <c r="F45" s="4">
        <f>(E44+G44)/2</f>
        <v>1.128064468502999</v>
      </c>
      <c r="G45" s="4">
        <f t="shared" si="8"/>
        <v>2.0406878320500255</v>
      </c>
      <c r="H45" s="4">
        <f t="shared" si="8"/>
        <v>2.9533111955970544</v>
      </c>
      <c r="I45" s="4">
        <f t="shared" si="8"/>
        <v>3.3019023248925805</v>
      </c>
      <c r="J45" s="4">
        <f t="shared" si="8"/>
        <v>3.6504934541881102</v>
      </c>
      <c r="K45" s="4">
        <f t="shared" si="8"/>
        <v>3.3019023248925805</v>
      </c>
      <c r="L45" s="4">
        <f t="shared" si="8"/>
        <v>2.9533111955970535</v>
      </c>
      <c r="M45" s="4">
        <f t="shared" si="8"/>
        <v>2.0406878320500255</v>
      </c>
      <c r="N45" s="4">
        <f t="shared" si="8"/>
        <v>1.1280644685029986</v>
      </c>
      <c r="O45">
        <f>$O$11</f>
        <v>0</v>
      </c>
    </row>
    <row r="46" spans="3:15" x14ac:dyDescent="0.35">
      <c r="C46">
        <v>35</v>
      </c>
      <c r="D46" s="4">
        <v>170.3408</v>
      </c>
      <c r="E46" s="4">
        <f>$E$11</f>
        <v>0</v>
      </c>
      <c r="F46" s="4">
        <f>(E45+G45)/2</f>
        <v>1.0203439160250127</v>
      </c>
      <c r="G46" s="4">
        <f t="shared" si="8"/>
        <v>2.0406878320500268</v>
      </c>
      <c r="H46" s="4">
        <f t="shared" si="8"/>
        <v>2.671295078471303</v>
      </c>
      <c r="I46" s="4">
        <f t="shared" si="8"/>
        <v>3.3019023248925823</v>
      </c>
      <c r="J46" s="4">
        <f t="shared" si="8"/>
        <v>3.3019023248925805</v>
      </c>
      <c r="K46" s="4">
        <f t="shared" si="8"/>
        <v>3.3019023248925818</v>
      </c>
      <c r="L46" s="4">
        <f t="shared" si="8"/>
        <v>2.671295078471303</v>
      </c>
      <c r="M46" s="4">
        <f t="shared" si="8"/>
        <v>2.0406878320500259</v>
      </c>
      <c r="N46" s="4">
        <f t="shared" si="8"/>
        <v>1.0203439160250127</v>
      </c>
      <c r="O46">
        <f>$O$11</f>
        <v>0</v>
      </c>
    </row>
    <row r="47" spans="3:15" x14ac:dyDescent="0.35">
      <c r="C47">
        <v>36</v>
      </c>
      <c r="D47" s="4">
        <v>175.20768000000001</v>
      </c>
      <c r="E47" s="4">
        <f t="shared" ref="E47:E110" si="9">$E$11</f>
        <v>0</v>
      </c>
      <c r="F47" s="4">
        <f t="shared" ref="F47:N62" si="10">(E46+G46)/2</f>
        <v>1.0203439160250134</v>
      </c>
      <c r="G47" s="4">
        <f t="shared" si="10"/>
        <v>1.8458194972481579</v>
      </c>
      <c r="H47" s="4">
        <f t="shared" si="10"/>
        <v>2.6712950784713048</v>
      </c>
      <c r="I47" s="4">
        <f t="shared" si="10"/>
        <v>2.9865987016819417</v>
      </c>
      <c r="J47" s="4">
        <f t="shared" si="10"/>
        <v>3.3019023248925823</v>
      </c>
      <c r="K47" s="4">
        <f t="shared" si="10"/>
        <v>2.9865987016819417</v>
      </c>
      <c r="L47" s="4">
        <f t="shared" si="10"/>
        <v>2.6712950784713039</v>
      </c>
      <c r="M47" s="4">
        <f t="shared" si="10"/>
        <v>1.8458194972481579</v>
      </c>
      <c r="N47" s="4">
        <f t="shared" si="10"/>
        <v>1.020343916025013</v>
      </c>
      <c r="O47">
        <f t="shared" ref="O47:O110" si="11">$O$11</f>
        <v>0</v>
      </c>
    </row>
    <row r="48" spans="3:15" x14ac:dyDescent="0.35">
      <c r="C48">
        <v>37</v>
      </c>
      <c r="D48" s="4">
        <v>180.07455999999999</v>
      </c>
      <c r="E48" s="4">
        <f t="shared" si="9"/>
        <v>0</v>
      </c>
      <c r="F48" s="4">
        <f t="shared" si="10"/>
        <v>0.92290974862407893</v>
      </c>
      <c r="G48" s="4">
        <f t="shared" si="10"/>
        <v>1.8458194972481592</v>
      </c>
      <c r="H48" s="4">
        <f t="shared" si="10"/>
        <v>2.4162090994650498</v>
      </c>
      <c r="I48" s="4">
        <f t="shared" si="10"/>
        <v>2.9865987016819435</v>
      </c>
      <c r="J48" s="4">
        <f t="shared" si="10"/>
        <v>2.9865987016819417</v>
      </c>
      <c r="K48" s="4">
        <f t="shared" si="10"/>
        <v>2.9865987016819431</v>
      </c>
      <c r="L48" s="4">
        <f t="shared" si="10"/>
        <v>2.4162090994650498</v>
      </c>
      <c r="M48" s="4">
        <f t="shared" si="10"/>
        <v>1.8458194972481583</v>
      </c>
      <c r="N48" s="4">
        <f t="shared" si="10"/>
        <v>0.92290974862407893</v>
      </c>
      <c r="O48">
        <f t="shared" si="11"/>
        <v>0</v>
      </c>
    </row>
    <row r="49" spans="3:15" x14ac:dyDescent="0.35">
      <c r="C49">
        <v>38</v>
      </c>
      <c r="D49" s="4">
        <v>184.94144</v>
      </c>
      <c r="E49" s="4">
        <f t="shared" si="9"/>
        <v>0</v>
      </c>
      <c r="F49" s="4">
        <f t="shared" si="10"/>
        <v>0.9229097486240796</v>
      </c>
      <c r="G49" s="4">
        <f t="shared" si="10"/>
        <v>1.6695594240445644</v>
      </c>
      <c r="H49" s="4">
        <f t="shared" si="10"/>
        <v>2.4162090994650516</v>
      </c>
      <c r="I49" s="4">
        <f t="shared" si="10"/>
        <v>2.7014039005734958</v>
      </c>
      <c r="J49" s="4">
        <f t="shared" si="10"/>
        <v>2.9865987016819435</v>
      </c>
      <c r="K49" s="4">
        <f t="shared" si="10"/>
        <v>2.7014039005734958</v>
      </c>
      <c r="L49" s="4">
        <f t="shared" si="10"/>
        <v>2.4162090994650507</v>
      </c>
      <c r="M49" s="4">
        <f t="shared" si="10"/>
        <v>1.6695594240445644</v>
      </c>
      <c r="N49" s="4">
        <f t="shared" si="10"/>
        <v>0.92290974862407915</v>
      </c>
      <c r="O49">
        <f t="shared" si="11"/>
        <v>0</v>
      </c>
    </row>
    <row r="50" spans="3:15" x14ac:dyDescent="0.35">
      <c r="C50">
        <v>39</v>
      </c>
      <c r="D50" s="4">
        <v>189.80832000000001</v>
      </c>
      <c r="E50" s="4">
        <f t="shared" si="9"/>
        <v>0</v>
      </c>
      <c r="F50" s="4">
        <f t="shared" si="10"/>
        <v>0.83477971202228218</v>
      </c>
      <c r="G50" s="4">
        <f t="shared" si="10"/>
        <v>1.6695594240445657</v>
      </c>
      <c r="H50" s="4">
        <f t="shared" si="10"/>
        <v>2.1854816623090301</v>
      </c>
      <c r="I50" s="4">
        <f t="shared" si="10"/>
        <v>2.7014039005734976</v>
      </c>
      <c r="J50" s="4">
        <f t="shared" si="10"/>
        <v>2.7014039005734958</v>
      </c>
      <c r="K50" s="4">
        <f t="shared" si="10"/>
        <v>2.7014039005734971</v>
      </c>
      <c r="L50" s="4">
        <f t="shared" si="10"/>
        <v>2.1854816623090301</v>
      </c>
      <c r="M50" s="4">
        <f t="shared" si="10"/>
        <v>1.6695594240445648</v>
      </c>
      <c r="N50" s="4">
        <f t="shared" si="10"/>
        <v>0.83477971202228218</v>
      </c>
      <c r="O50">
        <f t="shared" si="11"/>
        <v>0</v>
      </c>
    </row>
    <row r="51" spans="3:15" x14ac:dyDescent="0.35">
      <c r="C51">
        <v>40</v>
      </c>
      <c r="D51" s="4">
        <v>194.67519999999999</v>
      </c>
      <c r="E51" s="4">
        <f t="shared" si="9"/>
        <v>0</v>
      </c>
      <c r="F51" s="4">
        <f t="shared" si="10"/>
        <v>0.83477971202228285</v>
      </c>
      <c r="G51" s="4">
        <f t="shared" si="10"/>
        <v>1.5101306871656561</v>
      </c>
      <c r="H51" s="4">
        <f t="shared" si="10"/>
        <v>2.1854816623090318</v>
      </c>
      <c r="I51" s="4">
        <f t="shared" si="10"/>
        <v>2.4434427814412629</v>
      </c>
      <c r="J51" s="4">
        <f t="shared" si="10"/>
        <v>2.7014039005734976</v>
      </c>
      <c r="K51" s="4">
        <f t="shared" si="10"/>
        <v>2.4434427814412629</v>
      </c>
      <c r="L51" s="4">
        <f t="shared" si="10"/>
        <v>2.185481662309031</v>
      </c>
      <c r="M51" s="4">
        <f t="shared" si="10"/>
        <v>1.5101306871656561</v>
      </c>
      <c r="N51" s="4">
        <f t="shared" si="10"/>
        <v>0.83477971202228241</v>
      </c>
      <c r="O51">
        <f t="shared" si="11"/>
        <v>0</v>
      </c>
    </row>
    <row r="52" spans="3:15" x14ac:dyDescent="0.35">
      <c r="C52">
        <v>41</v>
      </c>
      <c r="D52" s="4">
        <v>199.54208</v>
      </c>
      <c r="E52" s="4">
        <f t="shared" si="9"/>
        <v>0</v>
      </c>
      <c r="F52" s="4">
        <f t="shared" si="10"/>
        <v>0.75506534358282806</v>
      </c>
      <c r="G52" s="4">
        <f t="shared" si="10"/>
        <v>1.5101306871656575</v>
      </c>
      <c r="H52" s="4">
        <f t="shared" si="10"/>
        <v>1.9767867343034595</v>
      </c>
      <c r="I52" s="4">
        <f t="shared" si="10"/>
        <v>2.4434427814412647</v>
      </c>
      <c r="J52" s="4">
        <f t="shared" si="10"/>
        <v>2.4434427814412629</v>
      </c>
      <c r="K52" s="4">
        <f t="shared" si="10"/>
        <v>2.4434427814412643</v>
      </c>
      <c r="L52" s="4">
        <f t="shared" si="10"/>
        <v>1.9767867343034595</v>
      </c>
      <c r="M52" s="4">
        <f t="shared" si="10"/>
        <v>1.5101306871656566</v>
      </c>
      <c r="N52" s="4">
        <f t="shared" si="10"/>
        <v>0.75506534358282806</v>
      </c>
      <c r="O52">
        <f t="shared" si="11"/>
        <v>0</v>
      </c>
    </row>
    <row r="53" spans="3:15" x14ac:dyDescent="0.35">
      <c r="C53">
        <v>42</v>
      </c>
      <c r="D53" s="4">
        <v>204.40896000000001</v>
      </c>
      <c r="E53" s="4">
        <f t="shared" si="9"/>
        <v>0</v>
      </c>
      <c r="F53" s="4">
        <f t="shared" si="10"/>
        <v>0.75506534358282873</v>
      </c>
      <c r="G53" s="4">
        <f t="shared" si="10"/>
        <v>1.3659260389431438</v>
      </c>
      <c r="H53" s="4">
        <f t="shared" si="10"/>
        <v>1.9767867343034611</v>
      </c>
      <c r="I53" s="4">
        <f t="shared" si="10"/>
        <v>2.2101147578723612</v>
      </c>
      <c r="J53" s="4">
        <f t="shared" si="10"/>
        <v>2.4434427814412647</v>
      </c>
      <c r="K53" s="4">
        <f t="shared" si="10"/>
        <v>2.2101147578723612</v>
      </c>
      <c r="L53" s="4">
        <f t="shared" si="10"/>
        <v>1.9767867343034604</v>
      </c>
      <c r="M53" s="4">
        <f t="shared" si="10"/>
        <v>1.3659260389431438</v>
      </c>
      <c r="N53" s="4">
        <f t="shared" si="10"/>
        <v>0.75506534358282829</v>
      </c>
      <c r="O53">
        <f t="shared" si="11"/>
        <v>0</v>
      </c>
    </row>
    <row r="54" spans="3:15" x14ac:dyDescent="0.35">
      <c r="C54">
        <v>43</v>
      </c>
      <c r="D54" s="4">
        <v>209.27583999999999</v>
      </c>
      <c r="E54" s="4">
        <f t="shared" si="9"/>
        <v>0</v>
      </c>
      <c r="F54" s="4">
        <f t="shared" si="10"/>
        <v>0.6829630194715719</v>
      </c>
      <c r="G54" s="4">
        <f t="shared" si="10"/>
        <v>1.3659260389431449</v>
      </c>
      <c r="H54" s="4">
        <f t="shared" si="10"/>
        <v>1.7880203984077525</v>
      </c>
      <c r="I54" s="4">
        <f t="shared" si="10"/>
        <v>2.210114757872363</v>
      </c>
      <c r="J54" s="4">
        <f t="shared" si="10"/>
        <v>2.2101147578723612</v>
      </c>
      <c r="K54" s="4">
        <f t="shared" si="10"/>
        <v>2.2101147578723626</v>
      </c>
      <c r="L54" s="4">
        <f t="shared" si="10"/>
        <v>1.7880203984077525</v>
      </c>
      <c r="M54" s="4">
        <f t="shared" si="10"/>
        <v>1.3659260389431442</v>
      </c>
      <c r="N54" s="4">
        <f t="shared" si="10"/>
        <v>0.6829630194715719</v>
      </c>
      <c r="O54">
        <f t="shared" si="11"/>
        <v>0</v>
      </c>
    </row>
    <row r="55" spans="3:15" x14ac:dyDescent="0.35">
      <c r="C55">
        <v>44</v>
      </c>
      <c r="D55" s="4">
        <v>214.14272</v>
      </c>
      <c r="E55" s="4">
        <f t="shared" si="9"/>
        <v>0</v>
      </c>
      <c r="F55" s="4">
        <f t="shared" si="10"/>
        <v>0.68296301947157245</v>
      </c>
      <c r="G55" s="4">
        <f t="shared" si="10"/>
        <v>1.2354917089396622</v>
      </c>
      <c r="H55" s="4">
        <f t="shared" si="10"/>
        <v>1.7880203984077538</v>
      </c>
      <c r="I55" s="4">
        <f t="shared" si="10"/>
        <v>1.9990675781400569</v>
      </c>
      <c r="J55" s="4">
        <f t="shared" si="10"/>
        <v>2.210114757872363</v>
      </c>
      <c r="K55" s="4">
        <f t="shared" si="10"/>
        <v>1.9990675781400569</v>
      </c>
      <c r="L55" s="4">
        <f t="shared" si="10"/>
        <v>1.7880203984077534</v>
      </c>
      <c r="M55" s="4">
        <f t="shared" si="10"/>
        <v>1.2354917089396622</v>
      </c>
      <c r="N55" s="4">
        <f t="shared" si="10"/>
        <v>0.68296301947157212</v>
      </c>
      <c r="O55">
        <f t="shared" si="11"/>
        <v>0</v>
      </c>
    </row>
    <row r="56" spans="3:15" x14ac:dyDescent="0.35">
      <c r="C56">
        <v>45</v>
      </c>
      <c r="D56" s="4">
        <v>219.00960000000001</v>
      </c>
      <c r="E56" s="4">
        <f t="shared" si="9"/>
        <v>0</v>
      </c>
      <c r="F56" s="4">
        <f t="shared" si="10"/>
        <v>0.6177458544698311</v>
      </c>
      <c r="G56" s="4">
        <f t="shared" si="10"/>
        <v>1.2354917089396631</v>
      </c>
      <c r="H56" s="4">
        <f t="shared" si="10"/>
        <v>1.6172796435398595</v>
      </c>
      <c r="I56" s="4">
        <f t="shared" si="10"/>
        <v>1.9990675781400584</v>
      </c>
      <c r="J56" s="4">
        <f t="shared" si="10"/>
        <v>1.9990675781400569</v>
      </c>
      <c r="K56" s="4">
        <f t="shared" si="10"/>
        <v>1.9990675781400582</v>
      </c>
      <c r="L56" s="4">
        <f t="shared" si="10"/>
        <v>1.6172796435398595</v>
      </c>
      <c r="M56" s="4">
        <f t="shared" si="10"/>
        <v>1.2354917089396626</v>
      </c>
      <c r="N56" s="4">
        <f t="shared" si="10"/>
        <v>0.6177458544698311</v>
      </c>
      <c r="O56">
        <f t="shared" si="11"/>
        <v>0</v>
      </c>
    </row>
    <row r="57" spans="3:15" x14ac:dyDescent="0.35">
      <c r="C57">
        <v>46</v>
      </c>
      <c r="D57" s="4">
        <v>223.87647999999999</v>
      </c>
      <c r="E57" s="4">
        <f t="shared" si="9"/>
        <v>0</v>
      </c>
      <c r="F57" s="4">
        <f t="shared" si="10"/>
        <v>0.61774585446983155</v>
      </c>
      <c r="G57" s="4">
        <f t="shared" si="10"/>
        <v>1.1175127490048453</v>
      </c>
      <c r="H57" s="4">
        <f t="shared" si="10"/>
        <v>1.6172796435398609</v>
      </c>
      <c r="I57" s="4">
        <f t="shared" si="10"/>
        <v>1.8081736108399582</v>
      </c>
      <c r="J57" s="4">
        <f t="shared" si="10"/>
        <v>1.9990675781400582</v>
      </c>
      <c r="K57" s="4">
        <f t="shared" si="10"/>
        <v>1.8081736108399582</v>
      </c>
      <c r="L57" s="4">
        <f t="shared" si="10"/>
        <v>1.6172796435398604</v>
      </c>
      <c r="M57" s="4">
        <f t="shared" si="10"/>
        <v>1.1175127490048453</v>
      </c>
      <c r="N57" s="4">
        <f t="shared" si="10"/>
        <v>0.61774585446983132</v>
      </c>
      <c r="O57">
        <f t="shared" si="11"/>
        <v>0</v>
      </c>
    </row>
    <row r="58" spans="3:15" x14ac:dyDescent="0.35">
      <c r="C58">
        <v>47</v>
      </c>
      <c r="D58" s="4">
        <v>228.74336</v>
      </c>
      <c r="E58" s="4">
        <f t="shared" si="9"/>
        <v>0</v>
      </c>
      <c r="F58" s="4">
        <f t="shared" si="10"/>
        <v>0.55875637450242266</v>
      </c>
      <c r="G58" s="4">
        <f t="shared" si="10"/>
        <v>1.1175127490048462</v>
      </c>
      <c r="H58" s="4">
        <f t="shared" si="10"/>
        <v>1.4628431799224018</v>
      </c>
      <c r="I58" s="4">
        <f t="shared" si="10"/>
        <v>1.8081736108399595</v>
      </c>
      <c r="J58" s="4">
        <f t="shared" si="10"/>
        <v>1.8081736108399582</v>
      </c>
      <c r="K58" s="4">
        <f t="shared" si="10"/>
        <v>1.8081736108399593</v>
      </c>
      <c r="L58" s="4">
        <f t="shared" si="10"/>
        <v>1.4628431799224018</v>
      </c>
      <c r="M58" s="4">
        <f t="shared" si="10"/>
        <v>1.1175127490048458</v>
      </c>
      <c r="N58" s="4">
        <f t="shared" si="10"/>
        <v>0.55875637450242266</v>
      </c>
      <c r="O58">
        <f t="shared" si="11"/>
        <v>0</v>
      </c>
    </row>
    <row r="59" spans="3:15" x14ac:dyDescent="0.35">
      <c r="C59">
        <v>48</v>
      </c>
      <c r="D59" s="4">
        <v>233.61024</v>
      </c>
      <c r="E59" s="4">
        <f t="shared" si="9"/>
        <v>0</v>
      </c>
      <c r="F59" s="4">
        <f t="shared" si="10"/>
        <v>0.5587563745024231</v>
      </c>
      <c r="G59" s="4">
        <f t="shared" si="10"/>
        <v>1.0107997772124122</v>
      </c>
      <c r="H59" s="4">
        <f t="shared" si="10"/>
        <v>1.4628431799224029</v>
      </c>
      <c r="I59" s="4">
        <f t="shared" si="10"/>
        <v>1.63550839538118</v>
      </c>
      <c r="J59" s="4">
        <f t="shared" si="10"/>
        <v>1.8081736108399595</v>
      </c>
      <c r="K59" s="4">
        <f t="shared" si="10"/>
        <v>1.63550839538118</v>
      </c>
      <c r="L59" s="4">
        <f t="shared" si="10"/>
        <v>1.4628431799224026</v>
      </c>
      <c r="M59" s="4">
        <f t="shared" si="10"/>
        <v>1.0107997772124122</v>
      </c>
      <c r="N59" s="4">
        <f t="shared" si="10"/>
        <v>0.55875637450242288</v>
      </c>
      <c r="O59">
        <f t="shared" si="11"/>
        <v>0</v>
      </c>
    </row>
    <row r="60" spans="3:15" x14ac:dyDescent="0.35">
      <c r="C60">
        <v>49</v>
      </c>
      <c r="D60" s="4">
        <v>238.47712000000001</v>
      </c>
      <c r="E60" s="4">
        <f t="shared" si="9"/>
        <v>0</v>
      </c>
      <c r="F60" s="4">
        <f t="shared" si="10"/>
        <v>0.5053998886062061</v>
      </c>
      <c r="G60" s="4">
        <f t="shared" si="10"/>
        <v>1.0107997772124131</v>
      </c>
      <c r="H60" s="4">
        <f t="shared" si="10"/>
        <v>1.3231540862967961</v>
      </c>
      <c r="I60" s="4">
        <f t="shared" si="10"/>
        <v>1.6355083953811813</v>
      </c>
      <c r="J60" s="4">
        <f t="shared" si="10"/>
        <v>1.63550839538118</v>
      </c>
      <c r="K60" s="4">
        <f t="shared" si="10"/>
        <v>1.6355083953811811</v>
      </c>
      <c r="L60" s="4">
        <f t="shared" si="10"/>
        <v>1.3231540862967961</v>
      </c>
      <c r="M60" s="4">
        <f t="shared" si="10"/>
        <v>1.0107997772124127</v>
      </c>
      <c r="N60" s="4">
        <f t="shared" si="10"/>
        <v>0.5053998886062061</v>
      </c>
      <c r="O60">
        <f t="shared" si="11"/>
        <v>0</v>
      </c>
    </row>
    <row r="61" spans="3:15" x14ac:dyDescent="0.35">
      <c r="C61">
        <v>50</v>
      </c>
      <c r="D61" s="4">
        <v>243.34399999999999</v>
      </c>
      <c r="E61" s="4">
        <f t="shared" si="9"/>
        <v>0</v>
      </c>
      <c r="F61" s="4">
        <f t="shared" si="10"/>
        <v>0.50539988860620655</v>
      </c>
      <c r="G61" s="4">
        <f t="shared" si="10"/>
        <v>0.9142769874515011</v>
      </c>
      <c r="H61" s="4">
        <f t="shared" si="10"/>
        <v>1.3231540862967972</v>
      </c>
      <c r="I61" s="4">
        <f t="shared" si="10"/>
        <v>1.479331240838988</v>
      </c>
      <c r="J61" s="4">
        <f t="shared" si="10"/>
        <v>1.6355083953811813</v>
      </c>
      <c r="K61" s="4">
        <f t="shared" si="10"/>
        <v>1.479331240838988</v>
      </c>
      <c r="L61" s="4">
        <f t="shared" si="10"/>
        <v>1.323154086296797</v>
      </c>
      <c r="M61" s="4">
        <f t="shared" si="10"/>
        <v>0.9142769874515011</v>
      </c>
      <c r="N61" s="4">
        <f t="shared" si="10"/>
        <v>0.50539988860620633</v>
      </c>
      <c r="O61">
        <f t="shared" si="11"/>
        <v>0</v>
      </c>
    </row>
    <row r="62" spans="3:15" x14ac:dyDescent="0.35">
      <c r="C62">
        <v>51</v>
      </c>
      <c r="D62" s="4">
        <v>248.21088</v>
      </c>
      <c r="E62" s="4">
        <f t="shared" si="9"/>
        <v>0</v>
      </c>
      <c r="F62" s="4">
        <f t="shared" si="10"/>
        <v>0.45713849372575055</v>
      </c>
      <c r="G62" s="4">
        <f t="shared" si="10"/>
        <v>0.91427698745150188</v>
      </c>
      <c r="H62" s="4">
        <f t="shared" si="10"/>
        <v>1.1968041141452446</v>
      </c>
      <c r="I62" s="4">
        <f t="shared" si="10"/>
        <v>1.4793312408389894</v>
      </c>
      <c r="J62" s="4">
        <f t="shared" si="10"/>
        <v>1.479331240838988</v>
      </c>
      <c r="K62" s="4">
        <f t="shared" si="10"/>
        <v>1.4793312408389891</v>
      </c>
      <c r="L62" s="4">
        <f t="shared" si="10"/>
        <v>1.1968041141452446</v>
      </c>
      <c r="M62" s="4">
        <f t="shared" si="10"/>
        <v>0.91427698745150165</v>
      </c>
      <c r="N62" s="4">
        <f t="shared" si="10"/>
        <v>0.45713849372575055</v>
      </c>
      <c r="O62">
        <f t="shared" si="11"/>
        <v>0</v>
      </c>
    </row>
    <row r="63" spans="3:15" x14ac:dyDescent="0.35">
      <c r="C63">
        <v>52</v>
      </c>
      <c r="D63" s="4">
        <v>253.07776000000001</v>
      </c>
      <c r="E63" s="4">
        <f t="shared" si="9"/>
        <v>0</v>
      </c>
      <c r="F63" s="4">
        <f t="shared" ref="F63:N91" si="12">(E62+G62)/2</f>
        <v>0.45713849372575094</v>
      </c>
      <c r="G63" s="4">
        <f t="shared" si="12"/>
        <v>0.82697130393549756</v>
      </c>
      <c r="H63" s="4">
        <f t="shared" si="12"/>
        <v>1.1968041141452457</v>
      </c>
      <c r="I63" s="4">
        <f t="shared" si="12"/>
        <v>1.3380676774921163</v>
      </c>
      <c r="J63" s="4">
        <f t="shared" si="12"/>
        <v>1.4793312408389894</v>
      </c>
      <c r="K63" s="4">
        <f t="shared" si="12"/>
        <v>1.3380676774921163</v>
      </c>
      <c r="L63" s="4">
        <f t="shared" si="12"/>
        <v>1.1968041141452455</v>
      </c>
      <c r="M63" s="4">
        <f t="shared" si="12"/>
        <v>0.82697130393549756</v>
      </c>
      <c r="N63" s="4">
        <f t="shared" si="12"/>
        <v>0.45713849372575083</v>
      </c>
      <c r="O63">
        <f t="shared" si="11"/>
        <v>0</v>
      </c>
    </row>
    <row r="64" spans="3:15" x14ac:dyDescent="0.35">
      <c r="C64">
        <v>53</v>
      </c>
      <c r="D64" s="4">
        <v>257.94463999999999</v>
      </c>
      <c r="E64" s="4">
        <f t="shared" si="9"/>
        <v>0</v>
      </c>
      <c r="F64" s="4">
        <f t="shared" si="12"/>
        <v>0.41348565196774878</v>
      </c>
      <c r="G64" s="4">
        <f t="shared" si="12"/>
        <v>0.82697130393549834</v>
      </c>
      <c r="H64" s="4">
        <f t="shared" si="12"/>
        <v>1.0825194907138069</v>
      </c>
      <c r="I64" s="4">
        <f t="shared" si="12"/>
        <v>1.3380676774921176</v>
      </c>
      <c r="J64" s="4">
        <f t="shared" si="12"/>
        <v>1.3380676774921163</v>
      </c>
      <c r="K64" s="4">
        <f t="shared" si="12"/>
        <v>1.3380676774921174</v>
      </c>
      <c r="L64" s="4">
        <f t="shared" si="12"/>
        <v>1.0825194907138069</v>
      </c>
      <c r="M64" s="4">
        <f t="shared" si="12"/>
        <v>0.82697130393549811</v>
      </c>
      <c r="N64" s="4">
        <f t="shared" si="12"/>
        <v>0.41348565196774878</v>
      </c>
      <c r="O64">
        <f t="shared" si="11"/>
        <v>0</v>
      </c>
    </row>
    <row r="65" spans="3:15" x14ac:dyDescent="0.35">
      <c r="C65">
        <v>54</v>
      </c>
      <c r="D65" s="4">
        <v>262.81151999999997</v>
      </c>
      <c r="E65" s="4">
        <f t="shared" si="9"/>
        <v>0</v>
      </c>
      <c r="F65" s="4">
        <f t="shared" si="12"/>
        <v>0.41348565196774917</v>
      </c>
      <c r="G65" s="4">
        <f t="shared" si="12"/>
        <v>0.74800257134077786</v>
      </c>
      <c r="H65" s="4">
        <f t="shared" si="12"/>
        <v>1.082519490713808</v>
      </c>
      <c r="I65" s="4">
        <f t="shared" si="12"/>
        <v>1.2102935841029616</v>
      </c>
      <c r="J65" s="4">
        <f t="shared" si="12"/>
        <v>1.3380676774921176</v>
      </c>
      <c r="K65" s="4">
        <f t="shared" si="12"/>
        <v>1.2102935841029616</v>
      </c>
      <c r="L65" s="4">
        <f t="shared" si="12"/>
        <v>1.0825194907138078</v>
      </c>
      <c r="M65" s="4">
        <f t="shared" si="12"/>
        <v>0.74800257134077786</v>
      </c>
      <c r="N65" s="4">
        <f t="shared" si="12"/>
        <v>0.41348565196774906</v>
      </c>
      <c r="O65">
        <f t="shared" si="11"/>
        <v>0</v>
      </c>
    </row>
    <row r="66" spans="3:15" x14ac:dyDescent="0.35">
      <c r="C66">
        <v>55</v>
      </c>
      <c r="D66" s="4">
        <v>267.67840000000001</v>
      </c>
      <c r="E66" s="4">
        <f t="shared" si="9"/>
        <v>0</v>
      </c>
      <c r="F66" s="4">
        <f t="shared" si="12"/>
        <v>0.37400128567038893</v>
      </c>
      <c r="G66" s="4">
        <f t="shared" si="12"/>
        <v>0.74800257134077863</v>
      </c>
      <c r="H66" s="4">
        <f t="shared" si="12"/>
        <v>0.97914807772186974</v>
      </c>
      <c r="I66" s="4">
        <f t="shared" si="12"/>
        <v>1.2102935841029629</v>
      </c>
      <c r="J66" s="4">
        <f t="shared" si="12"/>
        <v>1.2102935841029616</v>
      </c>
      <c r="K66" s="4">
        <f t="shared" si="12"/>
        <v>1.2102935841029627</v>
      </c>
      <c r="L66" s="4">
        <f t="shared" si="12"/>
        <v>0.97914807772186974</v>
      </c>
      <c r="M66" s="4">
        <f t="shared" si="12"/>
        <v>0.74800257134077841</v>
      </c>
      <c r="N66" s="4">
        <f t="shared" si="12"/>
        <v>0.37400128567038893</v>
      </c>
      <c r="O66">
        <f t="shared" si="11"/>
        <v>0</v>
      </c>
    </row>
    <row r="67" spans="3:15" x14ac:dyDescent="0.35">
      <c r="C67">
        <v>56</v>
      </c>
      <c r="D67" s="4">
        <v>272.54527999999999</v>
      </c>
      <c r="E67" s="4">
        <f t="shared" si="9"/>
        <v>0</v>
      </c>
      <c r="F67" s="4">
        <f t="shared" si="12"/>
        <v>0.37400128567038932</v>
      </c>
      <c r="G67" s="4">
        <f t="shared" si="12"/>
        <v>0.67657468169612933</v>
      </c>
      <c r="H67" s="4">
        <f t="shared" si="12"/>
        <v>0.97914807772187085</v>
      </c>
      <c r="I67" s="4">
        <f t="shared" si="12"/>
        <v>1.0947208309124157</v>
      </c>
      <c r="J67" s="4">
        <f t="shared" si="12"/>
        <v>1.2102935841029629</v>
      </c>
      <c r="K67" s="4">
        <f t="shared" si="12"/>
        <v>1.0947208309124157</v>
      </c>
      <c r="L67" s="4">
        <f t="shared" si="12"/>
        <v>0.97914807772187062</v>
      </c>
      <c r="M67" s="4">
        <f t="shared" si="12"/>
        <v>0.67657468169612933</v>
      </c>
      <c r="N67" s="4">
        <f t="shared" si="12"/>
        <v>0.37400128567038921</v>
      </c>
      <c r="O67">
        <f t="shared" si="11"/>
        <v>0</v>
      </c>
    </row>
    <row r="68" spans="3:15" x14ac:dyDescent="0.35">
      <c r="C68">
        <v>57</v>
      </c>
      <c r="D68" s="4">
        <v>277.41215999999997</v>
      </c>
      <c r="E68" s="4">
        <f t="shared" si="9"/>
        <v>0</v>
      </c>
      <c r="F68" s="4">
        <f t="shared" si="12"/>
        <v>0.33828734084806467</v>
      </c>
      <c r="G68" s="4">
        <f t="shared" si="12"/>
        <v>0.67657468169613011</v>
      </c>
      <c r="H68" s="4">
        <f t="shared" si="12"/>
        <v>0.8856477563042725</v>
      </c>
      <c r="I68" s="4">
        <f t="shared" si="12"/>
        <v>1.0947208309124168</v>
      </c>
      <c r="J68" s="4">
        <f t="shared" si="12"/>
        <v>1.0947208309124157</v>
      </c>
      <c r="K68" s="4">
        <f t="shared" si="12"/>
        <v>1.0947208309124168</v>
      </c>
      <c r="L68" s="4">
        <f t="shared" si="12"/>
        <v>0.8856477563042725</v>
      </c>
      <c r="M68" s="4">
        <f t="shared" si="12"/>
        <v>0.67657468169612989</v>
      </c>
      <c r="N68" s="4">
        <f t="shared" si="12"/>
        <v>0.33828734084806467</v>
      </c>
      <c r="O68">
        <f t="shared" si="11"/>
        <v>0</v>
      </c>
    </row>
    <row r="69" spans="3:15" x14ac:dyDescent="0.35">
      <c r="C69">
        <v>58</v>
      </c>
      <c r="D69" s="4">
        <v>282.27904000000001</v>
      </c>
      <c r="E69" s="4">
        <f t="shared" si="9"/>
        <v>0</v>
      </c>
      <c r="F69" s="4">
        <f t="shared" si="12"/>
        <v>0.33828734084806505</v>
      </c>
      <c r="G69" s="4">
        <f t="shared" si="12"/>
        <v>0.61196754857616864</v>
      </c>
      <c r="H69" s="4">
        <f t="shared" si="12"/>
        <v>0.8856477563042735</v>
      </c>
      <c r="I69" s="4">
        <f t="shared" si="12"/>
        <v>0.99018429360834403</v>
      </c>
      <c r="J69" s="4">
        <f t="shared" si="12"/>
        <v>1.0947208309124168</v>
      </c>
      <c r="K69" s="4">
        <f t="shared" si="12"/>
        <v>0.99018429360834403</v>
      </c>
      <c r="L69" s="4">
        <f t="shared" si="12"/>
        <v>0.88564775630427328</v>
      </c>
      <c r="M69" s="4">
        <f t="shared" si="12"/>
        <v>0.61196754857616864</v>
      </c>
      <c r="N69" s="4">
        <f t="shared" si="12"/>
        <v>0.33828734084806494</v>
      </c>
      <c r="O69">
        <f t="shared" si="11"/>
        <v>0</v>
      </c>
    </row>
    <row r="70" spans="3:15" x14ac:dyDescent="0.35">
      <c r="C70">
        <v>59</v>
      </c>
      <c r="D70" s="4">
        <v>287.14591999999999</v>
      </c>
      <c r="E70" s="4">
        <f t="shared" si="9"/>
        <v>0</v>
      </c>
      <c r="F70" s="4">
        <f t="shared" si="12"/>
        <v>0.30598377428808432</v>
      </c>
      <c r="G70" s="4">
        <f t="shared" si="12"/>
        <v>0.61196754857616931</v>
      </c>
      <c r="H70" s="4">
        <f t="shared" si="12"/>
        <v>0.80107592109225634</v>
      </c>
      <c r="I70" s="4">
        <f t="shared" si="12"/>
        <v>0.99018429360834515</v>
      </c>
      <c r="J70" s="4">
        <f t="shared" si="12"/>
        <v>0.99018429360834403</v>
      </c>
      <c r="K70" s="4">
        <f t="shared" si="12"/>
        <v>0.99018429360834503</v>
      </c>
      <c r="L70" s="4">
        <f t="shared" si="12"/>
        <v>0.80107592109225634</v>
      </c>
      <c r="M70" s="4">
        <f t="shared" si="12"/>
        <v>0.61196754857616908</v>
      </c>
      <c r="N70" s="4">
        <f t="shared" si="12"/>
        <v>0.30598377428808432</v>
      </c>
      <c r="O70">
        <f t="shared" si="11"/>
        <v>0</v>
      </c>
    </row>
    <row r="71" spans="3:15" x14ac:dyDescent="0.35">
      <c r="C71">
        <v>60</v>
      </c>
      <c r="D71" s="4">
        <v>292.01280000000003</v>
      </c>
      <c r="E71" s="4">
        <f t="shared" si="9"/>
        <v>0</v>
      </c>
      <c r="F71" s="4">
        <f t="shared" si="12"/>
        <v>0.30598377428808465</v>
      </c>
      <c r="G71" s="4">
        <f t="shared" si="12"/>
        <v>0.55352984769017033</v>
      </c>
      <c r="H71" s="4">
        <f t="shared" si="12"/>
        <v>0.80107592109225723</v>
      </c>
      <c r="I71" s="4">
        <f t="shared" si="12"/>
        <v>0.89563010735030013</v>
      </c>
      <c r="J71" s="4">
        <f t="shared" si="12"/>
        <v>0.99018429360834515</v>
      </c>
      <c r="K71" s="4">
        <f t="shared" si="12"/>
        <v>0.89563010735030013</v>
      </c>
      <c r="L71" s="4">
        <f t="shared" si="12"/>
        <v>0.80107592109225711</v>
      </c>
      <c r="M71" s="4">
        <f t="shared" si="12"/>
        <v>0.55352984769017033</v>
      </c>
      <c r="N71" s="4">
        <f t="shared" si="12"/>
        <v>0.30598377428808454</v>
      </c>
      <c r="O71">
        <f t="shared" si="11"/>
        <v>0</v>
      </c>
    </row>
    <row r="72" spans="3:15" x14ac:dyDescent="0.35">
      <c r="C72">
        <v>61</v>
      </c>
      <c r="D72" s="4">
        <v>296.87968000000001</v>
      </c>
      <c r="E72" s="4">
        <f t="shared" si="9"/>
        <v>0</v>
      </c>
      <c r="F72" s="4">
        <f t="shared" si="12"/>
        <v>0.27676492384508516</v>
      </c>
      <c r="G72" s="4">
        <f t="shared" si="12"/>
        <v>0.55352984769017088</v>
      </c>
      <c r="H72" s="4">
        <f t="shared" si="12"/>
        <v>0.72457997752023529</v>
      </c>
      <c r="I72" s="4">
        <f t="shared" si="12"/>
        <v>0.89563010735030124</v>
      </c>
      <c r="J72" s="4">
        <f t="shared" si="12"/>
        <v>0.89563010735030013</v>
      </c>
      <c r="K72" s="4">
        <f t="shared" si="12"/>
        <v>0.89563010735030113</v>
      </c>
      <c r="L72" s="4">
        <f t="shared" si="12"/>
        <v>0.72457997752023529</v>
      </c>
      <c r="M72" s="4">
        <f t="shared" si="12"/>
        <v>0.55352984769017088</v>
      </c>
      <c r="N72" s="4">
        <f t="shared" si="12"/>
        <v>0.27676492384508516</v>
      </c>
      <c r="O72">
        <f t="shared" si="11"/>
        <v>0</v>
      </c>
    </row>
    <row r="73" spans="3:15" x14ac:dyDescent="0.35">
      <c r="C73">
        <v>62</v>
      </c>
      <c r="D73" s="4">
        <v>301.74655999999999</v>
      </c>
      <c r="E73" s="4">
        <f t="shared" si="9"/>
        <v>0</v>
      </c>
      <c r="F73" s="4">
        <f t="shared" si="12"/>
        <v>0.27676492384508544</v>
      </c>
      <c r="G73" s="4">
        <f t="shared" si="12"/>
        <v>0.5006724506826602</v>
      </c>
      <c r="H73" s="4">
        <f t="shared" si="12"/>
        <v>0.72457997752023606</v>
      </c>
      <c r="I73" s="4">
        <f t="shared" si="12"/>
        <v>0.81010504243526771</v>
      </c>
      <c r="J73" s="4">
        <f t="shared" si="12"/>
        <v>0.89563010735030124</v>
      </c>
      <c r="K73" s="4">
        <f t="shared" si="12"/>
        <v>0.81010504243526771</v>
      </c>
      <c r="L73" s="4">
        <f t="shared" si="12"/>
        <v>0.72457997752023595</v>
      </c>
      <c r="M73" s="4">
        <f t="shared" si="12"/>
        <v>0.5006724506826602</v>
      </c>
      <c r="N73" s="4">
        <f t="shared" si="12"/>
        <v>0.27676492384508544</v>
      </c>
      <c r="O73">
        <f t="shared" si="11"/>
        <v>0</v>
      </c>
    </row>
    <row r="74" spans="3:15" x14ac:dyDescent="0.35">
      <c r="C74">
        <v>63</v>
      </c>
      <c r="D74" s="4">
        <v>306.61344000000003</v>
      </c>
      <c r="E74" s="4">
        <f t="shared" si="9"/>
        <v>0</v>
      </c>
      <c r="F74" s="4">
        <f t="shared" si="12"/>
        <v>0.2503362253413301</v>
      </c>
      <c r="G74" s="4">
        <f t="shared" si="12"/>
        <v>0.50067245068266075</v>
      </c>
      <c r="H74" s="4">
        <f t="shared" si="12"/>
        <v>0.65538874655896395</v>
      </c>
      <c r="I74" s="4">
        <f t="shared" si="12"/>
        <v>0.81010504243526871</v>
      </c>
      <c r="J74" s="4">
        <f t="shared" si="12"/>
        <v>0.81010504243526771</v>
      </c>
      <c r="K74" s="4">
        <f t="shared" si="12"/>
        <v>0.8101050424352686</v>
      </c>
      <c r="L74" s="4">
        <f t="shared" si="12"/>
        <v>0.65538874655896395</v>
      </c>
      <c r="M74" s="4">
        <f t="shared" si="12"/>
        <v>0.50067245068266075</v>
      </c>
      <c r="N74" s="4">
        <f t="shared" si="12"/>
        <v>0.2503362253413301</v>
      </c>
      <c r="O74">
        <f t="shared" si="11"/>
        <v>0</v>
      </c>
    </row>
    <row r="75" spans="3:15" x14ac:dyDescent="0.35">
      <c r="C75">
        <v>64</v>
      </c>
      <c r="D75" s="4">
        <v>311.48032000000001</v>
      </c>
      <c r="E75" s="4">
        <f t="shared" si="9"/>
        <v>0</v>
      </c>
      <c r="F75" s="4">
        <f t="shared" si="12"/>
        <v>0.25033622534133038</v>
      </c>
      <c r="G75" s="4">
        <f t="shared" si="12"/>
        <v>0.452862485950147</v>
      </c>
      <c r="H75" s="4">
        <f t="shared" si="12"/>
        <v>0.65538874655896473</v>
      </c>
      <c r="I75" s="4">
        <f t="shared" si="12"/>
        <v>0.73274689449711583</v>
      </c>
      <c r="J75" s="4">
        <f t="shared" si="12"/>
        <v>0.81010504243526871</v>
      </c>
      <c r="K75" s="4">
        <f t="shared" si="12"/>
        <v>0.73274689449711583</v>
      </c>
      <c r="L75" s="4">
        <f t="shared" si="12"/>
        <v>0.65538874655896473</v>
      </c>
      <c r="M75" s="4">
        <f t="shared" si="12"/>
        <v>0.452862485950147</v>
      </c>
      <c r="N75" s="4">
        <f t="shared" si="12"/>
        <v>0.25033622534133038</v>
      </c>
      <c r="O75">
        <f t="shared" si="11"/>
        <v>0</v>
      </c>
    </row>
    <row r="76" spans="3:15" x14ac:dyDescent="0.35">
      <c r="C76">
        <v>65</v>
      </c>
      <c r="D76" s="4">
        <v>316.34719999999999</v>
      </c>
      <c r="E76" s="4">
        <f t="shared" si="9"/>
        <v>0</v>
      </c>
      <c r="F76" s="4">
        <f t="shared" si="12"/>
        <v>0.2264312429750735</v>
      </c>
      <c r="G76" s="4">
        <f t="shared" si="12"/>
        <v>0.45286248595014755</v>
      </c>
      <c r="H76" s="4">
        <f t="shared" si="12"/>
        <v>0.59280469022363147</v>
      </c>
      <c r="I76" s="4">
        <f t="shared" si="12"/>
        <v>0.73274689449711672</v>
      </c>
      <c r="J76" s="4">
        <f t="shared" si="12"/>
        <v>0.73274689449711583</v>
      </c>
      <c r="K76" s="4">
        <f t="shared" si="12"/>
        <v>0.73274689449711672</v>
      </c>
      <c r="L76" s="4">
        <f t="shared" si="12"/>
        <v>0.59280469022363147</v>
      </c>
      <c r="M76" s="4">
        <f t="shared" si="12"/>
        <v>0.45286248595014755</v>
      </c>
      <c r="N76" s="4">
        <f t="shared" si="12"/>
        <v>0.2264312429750735</v>
      </c>
      <c r="O76">
        <f t="shared" si="11"/>
        <v>0</v>
      </c>
    </row>
    <row r="77" spans="3:15" x14ac:dyDescent="0.35">
      <c r="C77">
        <v>66</v>
      </c>
      <c r="D77" s="4">
        <v>321.21408000000002</v>
      </c>
      <c r="E77" s="4">
        <f t="shared" si="9"/>
        <v>0</v>
      </c>
      <c r="F77" s="4">
        <f t="shared" si="12"/>
        <v>0.22643124297507378</v>
      </c>
      <c r="G77" s="4">
        <f t="shared" si="12"/>
        <v>0.40961796659935246</v>
      </c>
      <c r="H77" s="4">
        <f t="shared" si="12"/>
        <v>0.59280469022363214</v>
      </c>
      <c r="I77" s="4">
        <f t="shared" si="12"/>
        <v>0.66277579236037365</v>
      </c>
      <c r="J77" s="4">
        <f t="shared" si="12"/>
        <v>0.73274689449711672</v>
      </c>
      <c r="K77" s="4">
        <f t="shared" si="12"/>
        <v>0.66277579236037365</v>
      </c>
      <c r="L77" s="4">
        <f t="shared" si="12"/>
        <v>0.59280469022363214</v>
      </c>
      <c r="M77" s="4">
        <f t="shared" si="12"/>
        <v>0.40961796659935246</v>
      </c>
      <c r="N77" s="4">
        <f t="shared" si="12"/>
        <v>0.22643124297507378</v>
      </c>
      <c r="O77">
        <f t="shared" si="11"/>
        <v>0</v>
      </c>
    </row>
    <row r="78" spans="3:15" x14ac:dyDescent="0.35">
      <c r="C78">
        <v>67</v>
      </c>
      <c r="D78" s="4">
        <v>326.08096</v>
      </c>
      <c r="E78" s="4">
        <f t="shared" si="9"/>
        <v>0</v>
      </c>
      <c r="F78" s="4">
        <f t="shared" si="12"/>
        <v>0.20480898329967623</v>
      </c>
      <c r="G78" s="4">
        <f t="shared" si="12"/>
        <v>0.40961796659935296</v>
      </c>
      <c r="H78" s="4">
        <f t="shared" si="12"/>
        <v>0.53619687947986305</v>
      </c>
      <c r="I78" s="4">
        <f t="shared" si="12"/>
        <v>0.66277579236037443</v>
      </c>
      <c r="J78" s="4">
        <f t="shared" si="12"/>
        <v>0.66277579236037365</v>
      </c>
      <c r="K78" s="4">
        <f t="shared" si="12"/>
        <v>0.66277579236037443</v>
      </c>
      <c r="L78" s="4">
        <f t="shared" si="12"/>
        <v>0.53619687947986305</v>
      </c>
      <c r="M78" s="4">
        <f t="shared" si="12"/>
        <v>0.40961796659935296</v>
      </c>
      <c r="N78" s="4">
        <f t="shared" si="12"/>
        <v>0.20480898329967623</v>
      </c>
      <c r="O78">
        <f t="shared" si="11"/>
        <v>0</v>
      </c>
    </row>
    <row r="79" spans="3:15" x14ac:dyDescent="0.35">
      <c r="C79">
        <v>68</v>
      </c>
      <c r="D79" s="4">
        <v>330.94783999999999</v>
      </c>
      <c r="E79" s="4">
        <f t="shared" si="9"/>
        <v>0</v>
      </c>
      <c r="F79" s="4">
        <f t="shared" si="12"/>
        <v>0.20480898329967648</v>
      </c>
      <c r="G79" s="4">
        <f t="shared" si="12"/>
        <v>0.37050293138976964</v>
      </c>
      <c r="H79" s="4">
        <f t="shared" si="12"/>
        <v>0.53619687947986372</v>
      </c>
      <c r="I79" s="4">
        <f t="shared" si="12"/>
        <v>0.59948633592011835</v>
      </c>
      <c r="J79" s="4">
        <f t="shared" si="12"/>
        <v>0.66277579236037443</v>
      </c>
      <c r="K79" s="4">
        <f t="shared" si="12"/>
        <v>0.59948633592011835</v>
      </c>
      <c r="L79" s="4">
        <f t="shared" si="12"/>
        <v>0.53619687947986372</v>
      </c>
      <c r="M79" s="4">
        <f t="shared" si="12"/>
        <v>0.37050293138976964</v>
      </c>
      <c r="N79" s="4">
        <f t="shared" si="12"/>
        <v>0.20480898329967648</v>
      </c>
      <c r="O79">
        <f t="shared" si="11"/>
        <v>0</v>
      </c>
    </row>
    <row r="80" spans="3:15" x14ac:dyDescent="0.35">
      <c r="C80">
        <v>69</v>
      </c>
      <c r="D80" s="4">
        <v>335.81472000000002</v>
      </c>
      <c r="E80" s="4">
        <f t="shared" si="9"/>
        <v>0</v>
      </c>
      <c r="F80" s="4">
        <f t="shared" si="12"/>
        <v>0.18525146569488482</v>
      </c>
      <c r="G80" s="4">
        <f t="shared" si="12"/>
        <v>0.37050293138977008</v>
      </c>
      <c r="H80" s="4">
        <f t="shared" si="12"/>
        <v>0.484994633654944</v>
      </c>
      <c r="I80" s="4">
        <f t="shared" si="12"/>
        <v>0.59948633592011902</v>
      </c>
      <c r="J80" s="4">
        <f t="shared" si="12"/>
        <v>0.59948633592011835</v>
      </c>
      <c r="K80" s="4">
        <f t="shared" si="12"/>
        <v>0.59948633592011902</v>
      </c>
      <c r="L80" s="4">
        <f t="shared" si="12"/>
        <v>0.484994633654944</v>
      </c>
      <c r="M80" s="4">
        <f t="shared" si="12"/>
        <v>0.37050293138977008</v>
      </c>
      <c r="N80" s="4">
        <f t="shared" si="12"/>
        <v>0.18525146569488482</v>
      </c>
      <c r="O80">
        <f t="shared" si="11"/>
        <v>0</v>
      </c>
    </row>
    <row r="81" spans="3:15" x14ac:dyDescent="0.35">
      <c r="C81">
        <v>70</v>
      </c>
      <c r="D81" s="4">
        <v>340.6816</v>
      </c>
      <c r="E81" s="4">
        <f t="shared" si="9"/>
        <v>0</v>
      </c>
      <c r="F81" s="4">
        <f t="shared" si="12"/>
        <v>0.18525146569488504</v>
      </c>
      <c r="G81" s="4">
        <f t="shared" si="12"/>
        <v>0.33512304967491441</v>
      </c>
      <c r="H81" s="4">
        <f t="shared" si="12"/>
        <v>0.48499463365494455</v>
      </c>
      <c r="I81" s="4">
        <f t="shared" si="12"/>
        <v>0.54224048478753117</v>
      </c>
      <c r="J81" s="4">
        <f t="shared" si="12"/>
        <v>0.59948633592011902</v>
      </c>
      <c r="K81" s="4">
        <f t="shared" si="12"/>
        <v>0.54224048478753117</v>
      </c>
      <c r="L81" s="4">
        <f t="shared" si="12"/>
        <v>0.48499463365494455</v>
      </c>
      <c r="M81" s="4">
        <f t="shared" si="12"/>
        <v>0.33512304967491441</v>
      </c>
      <c r="N81" s="4">
        <f t="shared" si="12"/>
        <v>0.18525146569488504</v>
      </c>
      <c r="O81">
        <f t="shared" si="11"/>
        <v>0</v>
      </c>
    </row>
    <row r="82" spans="3:15" x14ac:dyDescent="0.35">
      <c r="C82">
        <v>71</v>
      </c>
      <c r="D82" s="4">
        <v>345.54847999999998</v>
      </c>
      <c r="E82" s="4">
        <f t="shared" si="9"/>
        <v>0</v>
      </c>
      <c r="F82" s="4">
        <f t="shared" si="12"/>
        <v>0.1675615248374572</v>
      </c>
      <c r="G82" s="4">
        <f t="shared" si="12"/>
        <v>0.3351230496749148</v>
      </c>
      <c r="H82" s="4">
        <f t="shared" si="12"/>
        <v>0.43868176723122276</v>
      </c>
      <c r="I82" s="4">
        <f t="shared" si="12"/>
        <v>0.54224048478753173</v>
      </c>
      <c r="J82" s="4">
        <f t="shared" si="12"/>
        <v>0.54224048478753117</v>
      </c>
      <c r="K82" s="4">
        <f t="shared" si="12"/>
        <v>0.54224048478753173</v>
      </c>
      <c r="L82" s="4">
        <f t="shared" si="12"/>
        <v>0.43868176723122276</v>
      </c>
      <c r="M82" s="4">
        <f t="shared" si="12"/>
        <v>0.3351230496749148</v>
      </c>
      <c r="N82" s="4">
        <f t="shared" si="12"/>
        <v>0.1675615248374572</v>
      </c>
      <c r="O82">
        <f t="shared" si="11"/>
        <v>0</v>
      </c>
    </row>
    <row r="83" spans="3:15" x14ac:dyDescent="0.35">
      <c r="C83">
        <v>72</v>
      </c>
      <c r="D83" s="4">
        <v>350.41536000000002</v>
      </c>
      <c r="E83" s="4">
        <f t="shared" si="9"/>
        <v>0</v>
      </c>
      <c r="F83" s="4">
        <f t="shared" si="12"/>
        <v>0.1675615248374574</v>
      </c>
      <c r="G83" s="4">
        <f t="shared" si="12"/>
        <v>0.30312164603434</v>
      </c>
      <c r="H83" s="4">
        <f t="shared" si="12"/>
        <v>0.43868176723122326</v>
      </c>
      <c r="I83" s="4">
        <f t="shared" si="12"/>
        <v>0.49046112600937697</v>
      </c>
      <c r="J83" s="4">
        <f t="shared" si="12"/>
        <v>0.54224048478753173</v>
      </c>
      <c r="K83" s="4">
        <f t="shared" si="12"/>
        <v>0.49046112600937697</v>
      </c>
      <c r="L83" s="4">
        <f t="shared" si="12"/>
        <v>0.43868176723122326</v>
      </c>
      <c r="M83" s="4">
        <f t="shared" si="12"/>
        <v>0.30312164603434</v>
      </c>
      <c r="N83" s="4">
        <f t="shared" si="12"/>
        <v>0.1675615248374574</v>
      </c>
      <c r="O83">
        <f t="shared" si="11"/>
        <v>0</v>
      </c>
    </row>
    <row r="84" spans="3:15" x14ac:dyDescent="0.35">
      <c r="C84">
        <v>73</v>
      </c>
      <c r="D84" s="4">
        <v>355.28224</v>
      </c>
      <c r="E84" s="4">
        <f t="shared" si="9"/>
        <v>0</v>
      </c>
      <c r="F84" s="4">
        <f t="shared" si="12"/>
        <v>0.15156082301717</v>
      </c>
      <c r="G84" s="4">
        <f t="shared" si="12"/>
        <v>0.30312164603434033</v>
      </c>
      <c r="H84" s="4">
        <f t="shared" si="12"/>
        <v>0.39679138602185848</v>
      </c>
      <c r="I84" s="4">
        <f t="shared" si="12"/>
        <v>0.49046112600937752</v>
      </c>
      <c r="J84" s="4">
        <f t="shared" si="12"/>
        <v>0.49046112600937697</v>
      </c>
      <c r="K84" s="4">
        <f t="shared" si="12"/>
        <v>0.49046112600937752</v>
      </c>
      <c r="L84" s="4">
        <f t="shared" si="12"/>
        <v>0.39679138602185848</v>
      </c>
      <c r="M84" s="4">
        <f t="shared" si="12"/>
        <v>0.30312164603434033</v>
      </c>
      <c r="N84" s="4">
        <f t="shared" si="12"/>
        <v>0.15156082301717</v>
      </c>
      <c r="O84">
        <f t="shared" si="11"/>
        <v>0</v>
      </c>
    </row>
    <row r="85" spans="3:15" x14ac:dyDescent="0.35">
      <c r="C85">
        <v>74</v>
      </c>
      <c r="D85" s="4">
        <v>360.14911999999998</v>
      </c>
      <c r="E85" s="4">
        <f t="shared" si="9"/>
        <v>0</v>
      </c>
      <c r="F85" s="4">
        <f t="shared" si="12"/>
        <v>0.15156082301717017</v>
      </c>
      <c r="G85" s="4">
        <f t="shared" si="12"/>
        <v>0.27417610451951424</v>
      </c>
      <c r="H85" s="4">
        <f t="shared" si="12"/>
        <v>0.39679138602185893</v>
      </c>
      <c r="I85" s="4">
        <f t="shared" si="12"/>
        <v>0.44362625601561773</v>
      </c>
      <c r="J85" s="4">
        <f t="shared" si="12"/>
        <v>0.49046112600937752</v>
      </c>
      <c r="K85" s="4">
        <f t="shared" si="12"/>
        <v>0.44362625601561773</v>
      </c>
      <c r="L85" s="4">
        <f t="shared" si="12"/>
        <v>0.39679138602185893</v>
      </c>
      <c r="M85" s="4">
        <f t="shared" si="12"/>
        <v>0.27417610451951424</v>
      </c>
      <c r="N85" s="4">
        <f t="shared" si="12"/>
        <v>0.15156082301717017</v>
      </c>
      <c r="O85">
        <f t="shared" si="11"/>
        <v>0</v>
      </c>
    </row>
    <row r="86" spans="3:15" x14ac:dyDescent="0.35">
      <c r="C86">
        <v>75</v>
      </c>
      <c r="D86" s="4">
        <v>365.01600000000002</v>
      </c>
      <c r="E86" s="4">
        <f t="shared" si="9"/>
        <v>0</v>
      </c>
      <c r="F86" s="4">
        <f t="shared" si="12"/>
        <v>0.13708805225975712</v>
      </c>
      <c r="G86" s="4">
        <f t="shared" si="12"/>
        <v>0.27417610451951457</v>
      </c>
      <c r="H86" s="4">
        <f t="shared" si="12"/>
        <v>0.35890118026756601</v>
      </c>
      <c r="I86" s="4">
        <f t="shared" si="12"/>
        <v>0.44362625601561823</v>
      </c>
      <c r="J86" s="4">
        <f t="shared" si="12"/>
        <v>0.44362625601561773</v>
      </c>
      <c r="K86" s="4">
        <f t="shared" si="12"/>
        <v>0.44362625601561823</v>
      </c>
      <c r="L86" s="4">
        <f t="shared" si="12"/>
        <v>0.35890118026756601</v>
      </c>
      <c r="M86" s="4">
        <f t="shared" si="12"/>
        <v>0.27417610451951457</v>
      </c>
      <c r="N86" s="4">
        <f t="shared" si="12"/>
        <v>0.13708805225975712</v>
      </c>
      <c r="O86">
        <f t="shared" si="11"/>
        <v>0</v>
      </c>
    </row>
    <row r="87" spans="3:15" x14ac:dyDescent="0.35">
      <c r="C87">
        <v>76</v>
      </c>
      <c r="D87" s="4">
        <v>369.88288</v>
      </c>
      <c r="E87" s="4">
        <f t="shared" si="9"/>
        <v>0</v>
      </c>
      <c r="F87" s="4">
        <f t="shared" si="12"/>
        <v>0.13708805225975729</v>
      </c>
      <c r="G87" s="4">
        <f t="shared" si="12"/>
        <v>0.24799461626366157</v>
      </c>
      <c r="H87" s="4">
        <f t="shared" si="12"/>
        <v>0.3589011802675664</v>
      </c>
      <c r="I87" s="4">
        <f t="shared" si="12"/>
        <v>0.4012637181415919</v>
      </c>
      <c r="J87" s="4">
        <f t="shared" si="12"/>
        <v>0.44362625601561823</v>
      </c>
      <c r="K87" s="4">
        <f t="shared" si="12"/>
        <v>0.4012637181415919</v>
      </c>
      <c r="L87" s="4">
        <f t="shared" si="12"/>
        <v>0.3589011802675664</v>
      </c>
      <c r="M87" s="4">
        <f t="shared" si="12"/>
        <v>0.24799461626366157</v>
      </c>
      <c r="N87" s="4">
        <f t="shared" si="12"/>
        <v>0.13708805225975729</v>
      </c>
      <c r="O87">
        <f t="shared" si="11"/>
        <v>0</v>
      </c>
    </row>
    <row r="88" spans="3:15" x14ac:dyDescent="0.35">
      <c r="C88">
        <v>77</v>
      </c>
      <c r="D88" s="4">
        <v>374.74975999999998</v>
      </c>
      <c r="E88" s="4">
        <f t="shared" si="9"/>
        <v>0</v>
      </c>
      <c r="F88" s="4">
        <f t="shared" si="12"/>
        <v>0.12399730813183078</v>
      </c>
      <c r="G88" s="4">
        <f t="shared" si="12"/>
        <v>0.24799461626366184</v>
      </c>
      <c r="H88" s="4">
        <f t="shared" si="12"/>
        <v>0.32462916720262674</v>
      </c>
      <c r="I88" s="4">
        <f t="shared" si="12"/>
        <v>0.40126371814159234</v>
      </c>
      <c r="J88" s="4">
        <f t="shared" si="12"/>
        <v>0.4012637181415919</v>
      </c>
      <c r="K88" s="4">
        <f t="shared" si="12"/>
        <v>0.40126371814159234</v>
      </c>
      <c r="L88" s="4">
        <f t="shared" si="12"/>
        <v>0.32462916720262674</v>
      </c>
      <c r="M88" s="4">
        <f t="shared" si="12"/>
        <v>0.24799461626366184</v>
      </c>
      <c r="N88" s="4">
        <f t="shared" si="12"/>
        <v>0.12399730813183078</v>
      </c>
      <c r="O88">
        <f t="shared" si="11"/>
        <v>0</v>
      </c>
    </row>
    <row r="89" spans="3:15" x14ac:dyDescent="0.35">
      <c r="C89">
        <v>78</v>
      </c>
      <c r="D89" s="4">
        <v>379.61664000000002</v>
      </c>
      <c r="E89" s="4">
        <f t="shared" si="9"/>
        <v>0</v>
      </c>
      <c r="F89" s="4">
        <f t="shared" si="12"/>
        <v>0.12399730813183092</v>
      </c>
      <c r="G89" s="4">
        <f t="shared" si="12"/>
        <v>0.22431323766722877</v>
      </c>
      <c r="H89" s="4">
        <f t="shared" si="12"/>
        <v>0.32462916720262708</v>
      </c>
      <c r="I89" s="4">
        <f t="shared" si="12"/>
        <v>0.36294644267210929</v>
      </c>
      <c r="J89" s="4">
        <f t="shared" si="12"/>
        <v>0.40126371814159234</v>
      </c>
      <c r="K89" s="4">
        <f t="shared" si="12"/>
        <v>0.36294644267210929</v>
      </c>
      <c r="L89" s="4">
        <f t="shared" si="12"/>
        <v>0.32462916720262708</v>
      </c>
      <c r="M89" s="4">
        <f t="shared" si="12"/>
        <v>0.22431323766722877</v>
      </c>
      <c r="N89" s="4">
        <f t="shared" si="12"/>
        <v>0.12399730813183092</v>
      </c>
      <c r="O89">
        <f t="shared" si="11"/>
        <v>0</v>
      </c>
    </row>
    <row r="90" spans="3:15" x14ac:dyDescent="0.35">
      <c r="C90">
        <v>79</v>
      </c>
      <c r="D90" s="4">
        <v>384.48352</v>
      </c>
      <c r="E90" s="4">
        <f t="shared" si="9"/>
        <v>0</v>
      </c>
      <c r="F90" s="4">
        <f t="shared" si="12"/>
        <v>0.11215661883361439</v>
      </c>
      <c r="G90" s="4">
        <f t="shared" si="12"/>
        <v>0.22431323766722899</v>
      </c>
      <c r="H90" s="4">
        <f t="shared" si="12"/>
        <v>0.29362984016966903</v>
      </c>
      <c r="I90" s="4">
        <f t="shared" si="12"/>
        <v>0.36294644267210974</v>
      </c>
      <c r="J90" s="4">
        <f t="shared" si="12"/>
        <v>0.36294644267210929</v>
      </c>
      <c r="K90" s="4">
        <f t="shared" si="12"/>
        <v>0.36294644267210974</v>
      </c>
      <c r="L90" s="4">
        <f t="shared" si="12"/>
        <v>0.29362984016966903</v>
      </c>
      <c r="M90" s="4">
        <f t="shared" si="12"/>
        <v>0.22431323766722899</v>
      </c>
      <c r="N90" s="4">
        <f t="shared" si="12"/>
        <v>0.11215661883361439</v>
      </c>
      <c r="O90">
        <f t="shared" si="11"/>
        <v>0</v>
      </c>
    </row>
    <row r="91" spans="3:15" x14ac:dyDescent="0.35">
      <c r="C91">
        <v>80</v>
      </c>
      <c r="D91" s="4">
        <v>389.35039999999998</v>
      </c>
      <c r="E91" s="4">
        <f t="shared" si="9"/>
        <v>0</v>
      </c>
      <c r="F91" s="4">
        <f t="shared" si="12"/>
        <v>0.1121566188336145</v>
      </c>
      <c r="G91" s="4">
        <f t="shared" si="12"/>
        <v>0.20289322950164171</v>
      </c>
      <c r="H91" s="4">
        <f t="shared" si="12"/>
        <v>0.29362984016966936</v>
      </c>
      <c r="I91" s="4">
        <f t="shared" ref="F91:N119" si="13">(H90+J90)/2</f>
        <v>0.32828814142088913</v>
      </c>
      <c r="J91" s="4">
        <f t="shared" si="13"/>
        <v>0.36294644267210974</v>
      </c>
      <c r="K91" s="4">
        <f t="shared" si="13"/>
        <v>0.32828814142088913</v>
      </c>
      <c r="L91" s="4">
        <f t="shared" si="13"/>
        <v>0.29362984016966936</v>
      </c>
      <c r="M91" s="4">
        <f t="shared" si="13"/>
        <v>0.20289322950164171</v>
      </c>
      <c r="N91" s="4">
        <f t="shared" si="13"/>
        <v>0.1121566188336145</v>
      </c>
      <c r="O91">
        <f t="shared" si="11"/>
        <v>0</v>
      </c>
    </row>
    <row r="92" spans="3:15" x14ac:dyDescent="0.35">
      <c r="C92">
        <v>81</v>
      </c>
      <c r="D92" s="4">
        <v>394.21728000000002</v>
      </c>
      <c r="E92" s="4">
        <f t="shared" si="9"/>
        <v>0</v>
      </c>
      <c r="F92" s="4">
        <f t="shared" si="13"/>
        <v>0.10144661475082085</v>
      </c>
      <c r="G92" s="4">
        <f t="shared" si="13"/>
        <v>0.20289322950164193</v>
      </c>
      <c r="H92" s="4">
        <f t="shared" si="13"/>
        <v>0.26559068546126541</v>
      </c>
      <c r="I92" s="4">
        <f t="shared" si="13"/>
        <v>0.32828814142088958</v>
      </c>
      <c r="J92" s="4">
        <f t="shared" si="13"/>
        <v>0.32828814142088913</v>
      </c>
      <c r="K92" s="4">
        <f t="shared" si="13"/>
        <v>0.32828814142088958</v>
      </c>
      <c r="L92" s="4">
        <f t="shared" si="13"/>
        <v>0.26559068546126541</v>
      </c>
      <c r="M92" s="4">
        <f t="shared" si="13"/>
        <v>0.20289322950164193</v>
      </c>
      <c r="N92" s="4">
        <f t="shared" si="13"/>
        <v>0.10144661475082085</v>
      </c>
      <c r="O92">
        <f t="shared" si="11"/>
        <v>0</v>
      </c>
    </row>
    <row r="93" spans="3:15" x14ac:dyDescent="0.35">
      <c r="C93">
        <v>82</v>
      </c>
      <c r="D93" s="4">
        <v>399.08416</v>
      </c>
      <c r="E93" s="4">
        <f t="shared" si="9"/>
        <v>0</v>
      </c>
      <c r="F93" s="4">
        <f t="shared" si="13"/>
        <v>0.10144661475082097</v>
      </c>
      <c r="G93" s="4">
        <f t="shared" si="13"/>
        <v>0.18351865010604312</v>
      </c>
      <c r="H93" s="4">
        <f t="shared" si="13"/>
        <v>0.26559068546126574</v>
      </c>
      <c r="I93" s="4">
        <f t="shared" si="13"/>
        <v>0.29693941344107727</v>
      </c>
      <c r="J93" s="4">
        <f t="shared" si="13"/>
        <v>0.32828814142088958</v>
      </c>
      <c r="K93" s="4">
        <f t="shared" si="13"/>
        <v>0.29693941344107727</v>
      </c>
      <c r="L93" s="4">
        <f t="shared" si="13"/>
        <v>0.26559068546126574</v>
      </c>
      <c r="M93" s="4">
        <f t="shared" si="13"/>
        <v>0.18351865010604312</v>
      </c>
      <c r="N93" s="4">
        <f t="shared" si="13"/>
        <v>0.10144661475082097</v>
      </c>
      <c r="O93">
        <f t="shared" si="11"/>
        <v>0</v>
      </c>
    </row>
    <row r="94" spans="3:15" x14ac:dyDescent="0.35">
      <c r="C94">
        <v>83</v>
      </c>
      <c r="D94" s="4">
        <v>403.95103999999998</v>
      </c>
      <c r="E94" s="4">
        <f t="shared" si="9"/>
        <v>0</v>
      </c>
      <c r="F94" s="4">
        <f t="shared" si="13"/>
        <v>9.1759325053021562E-2</v>
      </c>
      <c r="G94" s="4">
        <f t="shared" si="13"/>
        <v>0.18351865010604335</v>
      </c>
      <c r="H94" s="4">
        <f t="shared" si="13"/>
        <v>0.2402290317735602</v>
      </c>
      <c r="I94" s="4">
        <f t="shared" si="13"/>
        <v>0.29693941344107766</v>
      </c>
      <c r="J94" s="4">
        <f t="shared" si="13"/>
        <v>0.29693941344107727</v>
      </c>
      <c r="K94" s="4">
        <f t="shared" si="13"/>
        <v>0.29693941344107766</v>
      </c>
      <c r="L94" s="4">
        <f t="shared" si="13"/>
        <v>0.2402290317735602</v>
      </c>
      <c r="M94" s="4">
        <f t="shared" si="13"/>
        <v>0.18351865010604335</v>
      </c>
      <c r="N94" s="4">
        <f t="shared" si="13"/>
        <v>9.1759325053021562E-2</v>
      </c>
      <c r="O94">
        <f t="shared" si="11"/>
        <v>0</v>
      </c>
    </row>
    <row r="95" spans="3:15" x14ac:dyDescent="0.35">
      <c r="C95">
        <v>84</v>
      </c>
      <c r="D95" s="4">
        <v>408.81792000000002</v>
      </c>
      <c r="E95" s="4">
        <f t="shared" si="9"/>
        <v>0</v>
      </c>
      <c r="F95" s="4">
        <f t="shared" si="13"/>
        <v>9.1759325053021673E-2</v>
      </c>
      <c r="G95" s="4">
        <f t="shared" si="13"/>
        <v>0.16599417841329089</v>
      </c>
      <c r="H95" s="4">
        <f t="shared" si="13"/>
        <v>0.2402290317735605</v>
      </c>
      <c r="I95" s="4">
        <f t="shared" si="13"/>
        <v>0.26858422260731873</v>
      </c>
      <c r="J95" s="4">
        <f t="shared" si="13"/>
        <v>0.29693941344107766</v>
      </c>
      <c r="K95" s="4">
        <f t="shared" si="13"/>
        <v>0.26858422260731873</v>
      </c>
      <c r="L95" s="4">
        <f t="shared" si="13"/>
        <v>0.2402290317735605</v>
      </c>
      <c r="M95" s="4">
        <f t="shared" si="13"/>
        <v>0.16599417841329089</v>
      </c>
      <c r="N95" s="4">
        <f t="shared" si="13"/>
        <v>9.1759325053021673E-2</v>
      </c>
      <c r="O95">
        <f t="shared" si="11"/>
        <v>0</v>
      </c>
    </row>
    <row r="96" spans="3:15" x14ac:dyDescent="0.35">
      <c r="C96">
        <v>85</v>
      </c>
      <c r="D96" s="4">
        <v>413.6848</v>
      </c>
      <c r="E96" s="4">
        <f t="shared" si="9"/>
        <v>0</v>
      </c>
      <c r="F96" s="4">
        <f t="shared" si="13"/>
        <v>8.2997089206645447E-2</v>
      </c>
      <c r="G96" s="4">
        <f t="shared" si="13"/>
        <v>0.16599417841329109</v>
      </c>
      <c r="H96" s="4">
        <f t="shared" si="13"/>
        <v>0.21728920051030481</v>
      </c>
      <c r="I96" s="4">
        <f t="shared" si="13"/>
        <v>0.26858422260731907</v>
      </c>
      <c r="J96" s="4">
        <f t="shared" si="13"/>
        <v>0.26858422260731873</v>
      </c>
      <c r="K96" s="4">
        <f t="shared" si="13"/>
        <v>0.26858422260731907</v>
      </c>
      <c r="L96" s="4">
        <f t="shared" si="13"/>
        <v>0.21728920051030481</v>
      </c>
      <c r="M96" s="4">
        <f t="shared" si="13"/>
        <v>0.16599417841329109</v>
      </c>
      <c r="N96" s="4">
        <f t="shared" si="13"/>
        <v>8.2997089206645447E-2</v>
      </c>
      <c r="O96">
        <f t="shared" si="11"/>
        <v>0</v>
      </c>
    </row>
    <row r="97" spans="3:15" x14ac:dyDescent="0.35">
      <c r="C97">
        <v>86</v>
      </c>
      <c r="D97" s="4">
        <v>418.55167999999998</v>
      </c>
      <c r="E97" s="4">
        <f t="shared" si="9"/>
        <v>0</v>
      </c>
      <c r="F97" s="4">
        <f t="shared" si="13"/>
        <v>8.2997089206645544E-2</v>
      </c>
      <c r="G97" s="4">
        <f t="shared" si="13"/>
        <v>0.15014314485847513</v>
      </c>
      <c r="H97" s="4">
        <f t="shared" si="13"/>
        <v>0.21728920051030509</v>
      </c>
      <c r="I97" s="4">
        <f t="shared" si="13"/>
        <v>0.24293671155881177</v>
      </c>
      <c r="J97" s="4">
        <f t="shared" si="13"/>
        <v>0.26858422260731907</v>
      </c>
      <c r="K97" s="4">
        <f t="shared" si="13"/>
        <v>0.24293671155881177</v>
      </c>
      <c r="L97" s="4">
        <f t="shared" si="13"/>
        <v>0.21728920051030509</v>
      </c>
      <c r="M97" s="4">
        <f t="shared" si="13"/>
        <v>0.15014314485847513</v>
      </c>
      <c r="N97" s="4">
        <f t="shared" si="13"/>
        <v>8.2997089206645544E-2</v>
      </c>
      <c r="O97">
        <f t="shared" si="11"/>
        <v>0</v>
      </c>
    </row>
    <row r="98" spans="3:15" x14ac:dyDescent="0.35">
      <c r="C98">
        <v>87</v>
      </c>
      <c r="D98" s="4">
        <v>423.41856000000001</v>
      </c>
      <c r="E98" s="4">
        <f t="shared" si="9"/>
        <v>0</v>
      </c>
      <c r="F98" s="4">
        <f t="shared" si="13"/>
        <v>7.5071572429237565E-2</v>
      </c>
      <c r="G98" s="4">
        <f t="shared" si="13"/>
        <v>0.15014314485847532</v>
      </c>
      <c r="H98" s="4">
        <f t="shared" si="13"/>
        <v>0.19653992820864347</v>
      </c>
      <c r="I98" s="4">
        <f t="shared" si="13"/>
        <v>0.24293671155881208</v>
      </c>
      <c r="J98" s="4">
        <f t="shared" si="13"/>
        <v>0.24293671155881177</v>
      </c>
      <c r="K98" s="4">
        <f t="shared" si="13"/>
        <v>0.24293671155881208</v>
      </c>
      <c r="L98" s="4">
        <f t="shared" si="13"/>
        <v>0.19653992820864347</v>
      </c>
      <c r="M98" s="4">
        <f t="shared" si="13"/>
        <v>0.15014314485847532</v>
      </c>
      <c r="N98" s="4">
        <f t="shared" si="13"/>
        <v>7.5071572429237565E-2</v>
      </c>
      <c r="O98">
        <f t="shared" si="11"/>
        <v>0</v>
      </c>
    </row>
    <row r="99" spans="3:15" x14ac:dyDescent="0.35">
      <c r="C99">
        <v>88</v>
      </c>
      <c r="D99" s="4">
        <v>428.28543999999999</v>
      </c>
      <c r="E99" s="4">
        <f t="shared" si="9"/>
        <v>0</v>
      </c>
      <c r="F99" s="4">
        <f t="shared" si="13"/>
        <v>7.5071572429237662E-2</v>
      </c>
      <c r="G99" s="4">
        <f t="shared" si="13"/>
        <v>0.13580575031894052</v>
      </c>
      <c r="H99" s="4">
        <f t="shared" si="13"/>
        <v>0.19653992820864369</v>
      </c>
      <c r="I99" s="4">
        <f t="shared" si="13"/>
        <v>0.21973831988372761</v>
      </c>
      <c r="J99" s="4">
        <f t="shared" si="13"/>
        <v>0.24293671155881208</v>
      </c>
      <c r="K99" s="4">
        <f t="shared" si="13"/>
        <v>0.21973831988372761</v>
      </c>
      <c r="L99" s="4">
        <f t="shared" si="13"/>
        <v>0.19653992820864369</v>
      </c>
      <c r="M99" s="4">
        <f t="shared" si="13"/>
        <v>0.13580575031894052</v>
      </c>
      <c r="N99" s="4">
        <f t="shared" si="13"/>
        <v>7.5071572429237662E-2</v>
      </c>
      <c r="O99">
        <f t="shared" si="11"/>
        <v>0</v>
      </c>
    </row>
    <row r="100" spans="3:15" x14ac:dyDescent="0.35">
      <c r="C100">
        <v>89</v>
      </c>
      <c r="D100" s="4">
        <v>433.15231999999997</v>
      </c>
      <c r="E100" s="4">
        <f t="shared" si="9"/>
        <v>0</v>
      </c>
      <c r="F100" s="4">
        <f t="shared" si="13"/>
        <v>6.7902875159470258E-2</v>
      </c>
      <c r="G100" s="4">
        <f t="shared" si="13"/>
        <v>0.13580575031894068</v>
      </c>
      <c r="H100" s="4">
        <f t="shared" si="13"/>
        <v>0.17777203510133405</v>
      </c>
      <c r="I100" s="4">
        <f t="shared" si="13"/>
        <v>0.21973831988372788</v>
      </c>
      <c r="J100" s="4">
        <f t="shared" si="13"/>
        <v>0.21973831988372761</v>
      </c>
      <c r="K100" s="4">
        <f t="shared" si="13"/>
        <v>0.21973831988372788</v>
      </c>
      <c r="L100" s="4">
        <f t="shared" si="13"/>
        <v>0.17777203510133405</v>
      </c>
      <c r="M100" s="4">
        <f t="shared" si="13"/>
        <v>0.13580575031894068</v>
      </c>
      <c r="N100" s="4">
        <f t="shared" si="13"/>
        <v>6.7902875159470258E-2</v>
      </c>
      <c r="O100">
        <f t="shared" si="11"/>
        <v>0</v>
      </c>
    </row>
    <row r="101" spans="3:15" x14ac:dyDescent="0.35">
      <c r="C101">
        <v>90</v>
      </c>
      <c r="D101" s="4">
        <v>438.01920000000001</v>
      </c>
      <c r="E101" s="4">
        <f t="shared" si="9"/>
        <v>0</v>
      </c>
      <c r="F101" s="4">
        <f t="shared" si="13"/>
        <v>6.7902875159470341E-2</v>
      </c>
      <c r="G101" s="4">
        <f t="shared" si="13"/>
        <v>0.12283745513040215</v>
      </c>
      <c r="H101" s="4">
        <f t="shared" si="13"/>
        <v>0.17777203510133427</v>
      </c>
      <c r="I101" s="4">
        <f t="shared" si="13"/>
        <v>0.19875517749253083</v>
      </c>
      <c r="J101" s="4">
        <f t="shared" si="13"/>
        <v>0.21973831988372788</v>
      </c>
      <c r="K101" s="4">
        <f t="shared" si="13"/>
        <v>0.19875517749253083</v>
      </c>
      <c r="L101" s="4">
        <f t="shared" si="13"/>
        <v>0.17777203510133427</v>
      </c>
      <c r="M101" s="4">
        <f t="shared" si="13"/>
        <v>0.12283745513040215</v>
      </c>
      <c r="N101" s="4">
        <f t="shared" si="13"/>
        <v>6.7902875159470341E-2</v>
      </c>
      <c r="O101">
        <f t="shared" si="11"/>
        <v>0</v>
      </c>
    </row>
    <row r="102" spans="3:15" x14ac:dyDescent="0.35">
      <c r="C102">
        <v>91</v>
      </c>
      <c r="D102" s="4">
        <v>442.88607999999999</v>
      </c>
      <c r="E102" s="4">
        <f t="shared" si="9"/>
        <v>0</v>
      </c>
      <c r="F102" s="4">
        <f t="shared" si="13"/>
        <v>6.1418727565201073E-2</v>
      </c>
      <c r="G102" s="4">
        <f t="shared" si="13"/>
        <v>0.12283745513040231</v>
      </c>
      <c r="H102" s="4">
        <f t="shared" si="13"/>
        <v>0.16079631631146649</v>
      </c>
      <c r="I102" s="4">
        <f t="shared" si="13"/>
        <v>0.19875517749253108</v>
      </c>
      <c r="J102" s="4">
        <f t="shared" si="13"/>
        <v>0.19875517749253083</v>
      </c>
      <c r="K102" s="4">
        <f t="shared" si="13"/>
        <v>0.19875517749253108</v>
      </c>
      <c r="L102" s="4">
        <f t="shared" si="13"/>
        <v>0.16079631631146649</v>
      </c>
      <c r="M102" s="4">
        <f t="shared" si="13"/>
        <v>0.12283745513040231</v>
      </c>
      <c r="N102" s="4">
        <f t="shared" si="13"/>
        <v>6.1418727565201073E-2</v>
      </c>
      <c r="O102">
        <f t="shared" si="11"/>
        <v>0</v>
      </c>
    </row>
    <row r="103" spans="3:15" x14ac:dyDescent="0.35">
      <c r="C103">
        <v>92</v>
      </c>
      <c r="D103" s="4">
        <v>447.75295999999997</v>
      </c>
      <c r="E103" s="4">
        <f t="shared" si="9"/>
        <v>0</v>
      </c>
      <c r="F103" s="4">
        <f t="shared" si="13"/>
        <v>6.1418727565201156E-2</v>
      </c>
      <c r="G103" s="4">
        <f t="shared" si="13"/>
        <v>0.11110752193833379</v>
      </c>
      <c r="H103" s="4">
        <f t="shared" si="13"/>
        <v>0.16079631631146668</v>
      </c>
      <c r="I103" s="4">
        <f t="shared" si="13"/>
        <v>0.17977574690199866</v>
      </c>
      <c r="J103" s="4">
        <f t="shared" si="13"/>
        <v>0.19875517749253108</v>
      </c>
      <c r="K103" s="4">
        <f t="shared" si="13"/>
        <v>0.17977574690199866</v>
      </c>
      <c r="L103" s="4">
        <f t="shared" si="13"/>
        <v>0.16079631631146668</v>
      </c>
      <c r="M103" s="4">
        <f t="shared" si="13"/>
        <v>0.11110752193833379</v>
      </c>
      <c r="N103" s="4">
        <f t="shared" si="13"/>
        <v>6.1418727565201156E-2</v>
      </c>
      <c r="O103">
        <f t="shared" si="11"/>
        <v>0</v>
      </c>
    </row>
    <row r="104" spans="3:15" x14ac:dyDescent="0.35">
      <c r="C104">
        <v>93</v>
      </c>
      <c r="D104" s="4">
        <v>452.61984000000001</v>
      </c>
      <c r="E104" s="4">
        <f t="shared" si="9"/>
        <v>0</v>
      </c>
      <c r="F104" s="4">
        <f t="shared" si="13"/>
        <v>5.5553760969166893E-2</v>
      </c>
      <c r="G104" s="4">
        <f t="shared" si="13"/>
        <v>0.11110752193833393</v>
      </c>
      <c r="H104" s="4">
        <f t="shared" si="13"/>
        <v>0.14544163442016622</v>
      </c>
      <c r="I104" s="4">
        <f t="shared" si="13"/>
        <v>0.17977574690199888</v>
      </c>
      <c r="J104" s="4">
        <f t="shared" si="13"/>
        <v>0.17977574690199866</v>
      </c>
      <c r="K104" s="4">
        <f t="shared" si="13"/>
        <v>0.17977574690199888</v>
      </c>
      <c r="L104" s="4">
        <f t="shared" si="13"/>
        <v>0.14544163442016622</v>
      </c>
      <c r="M104" s="4">
        <f t="shared" si="13"/>
        <v>0.11110752193833393</v>
      </c>
      <c r="N104" s="4">
        <f t="shared" si="13"/>
        <v>5.5553760969166893E-2</v>
      </c>
      <c r="O104">
        <f t="shared" si="11"/>
        <v>0</v>
      </c>
    </row>
    <row r="105" spans="3:15" x14ac:dyDescent="0.35">
      <c r="C105">
        <v>94</v>
      </c>
      <c r="D105" s="4">
        <v>457.48671999999999</v>
      </c>
      <c r="E105" s="4">
        <f t="shared" si="9"/>
        <v>0</v>
      </c>
      <c r="F105" s="4">
        <f t="shared" si="13"/>
        <v>5.5553760969166963E-2</v>
      </c>
      <c r="G105" s="4">
        <f t="shared" si="13"/>
        <v>0.10049769769466656</v>
      </c>
      <c r="H105" s="4">
        <f t="shared" si="13"/>
        <v>0.14544163442016639</v>
      </c>
      <c r="I105" s="4">
        <f t="shared" si="13"/>
        <v>0.16260869066108244</v>
      </c>
      <c r="J105" s="4">
        <f t="shared" si="13"/>
        <v>0.17977574690199888</v>
      </c>
      <c r="K105" s="4">
        <f t="shared" si="13"/>
        <v>0.16260869066108244</v>
      </c>
      <c r="L105" s="4">
        <f t="shared" si="13"/>
        <v>0.14544163442016639</v>
      </c>
      <c r="M105" s="4">
        <f t="shared" si="13"/>
        <v>0.10049769769466656</v>
      </c>
      <c r="N105" s="4">
        <f t="shared" si="13"/>
        <v>5.5553760969166963E-2</v>
      </c>
      <c r="O105">
        <f t="shared" si="11"/>
        <v>0</v>
      </c>
    </row>
    <row r="106" spans="3:15" x14ac:dyDescent="0.35">
      <c r="C106">
        <v>95</v>
      </c>
      <c r="D106" s="4">
        <v>462.35359999999997</v>
      </c>
      <c r="E106" s="4">
        <f t="shared" si="9"/>
        <v>0</v>
      </c>
      <c r="F106" s="4">
        <f t="shared" si="13"/>
        <v>5.0248848847333279E-2</v>
      </c>
      <c r="G106" s="4">
        <f t="shared" si="13"/>
        <v>0.10049769769466668</v>
      </c>
      <c r="H106" s="4">
        <f t="shared" si="13"/>
        <v>0.13155319417787451</v>
      </c>
      <c r="I106" s="4">
        <f t="shared" si="13"/>
        <v>0.16260869066108263</v>
      </c>
      <c r="J106" s="4">
        <f t="shared" si="13"/>
        <v>0.16260869066108244</v>
      </c>
      <c r="K106" s="4">
        <f t="shared" si="13"/>
        <v>0.16260869066108263</v>
      </c>
      <c r="L106" s="4">
        <f t="shared" si="13"/>
        <v>0.13155319417787451</v>
      </c>
      <c r="M106" s="4">
        <f t="shared" si="13"/>
        <v>0.10049769769466668</v>
      </c>
      <c r="N106" s="4">
        <f t="shared" si="13"/>
        <v>5.0248848847333279E-2</v>
      </c>
      <c r="O106">
        <f t="shared" si="11"/>
        <v>0</v>
      </c>
    </row>
    <row r="107" spans="3:15" x14ac:dyDescent="0.35">
      <c r="C107">
        <v>96</v>
      </c>
      <c r="D107" s="4">
        <v>467.22048000000001</v>
      </c>
      <c r="E107" s="4">
        <f t="shared" si="9"/>
        <v>0</v>
      </c>
      <c r="F107" s="4">
        <f t="shared" si="13"/>
        <v>5.0248848847333341E-2</v>
      </c>
      <c r="G107" s="4">
        <f t="shared" si="13"/>
        <v>9.0901021512603888E-2</v>
      </c>
      <c r="H107" s="4">
        <f t="shared" si="13"/>
        <v>0.13155319417787464</v>
      </c>
      <c r="I107" s="4">
        <f t="shared" si="13"/>
        <v>0.14708094241947847</v>
      </c>
      <c r="J107" s="4">
        <f t="shared" si="13"/>
        <v>0.16260869066108263</v>
      </c>
      <c r="K107" s="4">
        <f t="shared" si="13"/>
        <v>0.14708094241947847</v>
      </c>
      <c r="L107" s="4">
        <f t="shared" si="13"/>
        <v>0.13155319417787464</v>
      </c>
      <c r="M107" s="4">
        <f t="shared" si="13"/>
        <v>9.0901021512603888E-2</v>
      </c>
      <c r="N107" s="4">
        <f t="shared" si="13"/>
        <v>5.0248848847333341E-2</v>
      </c>
      <c r="O107">
        <f t="shared" si="11"/>
        <v>0</v>
      </c>
    </row>
    <row r="108" spans="3:15" x14ac:dyDescent="0.35">
      <c r="C108">
        <v>97</v>
      </c>
      <c r="D108" s="4">
        <v>472.08735999999999</v>
      </c>
      <c r="E108" s="4">
        <f t="shared" si="9"/>
        <v>0</v>
      </c>
      <c r="F108" s="4">
        <f t="shared" si="13"/>
        <v>4.5450510756301944E-2</v>
      </c>
      <c r="G108" s="4">
        <f t="shared" si="13"/>
        <v>9.0901021512603986E-2</v>
      </c>
      <c r="H108" s="4">
        <f t="shared" si="13"/>
        <v>0.11899098196604119</v>
      </c>
      <c r="I108" s="4">
        <f t="shared" si="13"/>
        <v>0.14708094241947864</v>
      </c>
      <c r="J108" s="4">
        <f t="shared" si="13"/>
        <v>0.14708094241947847</v>
      </c>
      <c r="K108" s="4">
        <f t="shared" si="13"/>
        <v>0.14708094241947864</v>
      </c>
      <c r="L108" s="4">
        <f t="shared" si="13"/>
        <v>0.11899098196604119</v>
      </c>
      <c r="M108" s="4">
        <f t="shared" si="13"/>
        <v>9.0901021512603986E-2</v>
      </c>
      <c r="N108" s="4">
        <f t="shared" si="13"/>
        <v>4.5450510756301944E-2</v>
      </c>
      <c r="O108">
        <f t="shared" si="11"/>
        <v>0</v>
      </c>
    </row>
    <row r="109" spans="3:15" x14ac:dyDescent="0.35">
      <c r="C109">
        <v>98</v>
      </c>
      <c r="D109" s="4">
        <v>476.95424000000003</v>
      </c>
      <c r="E109" s="4">
        <f t="shared" si="9"/>
        <v>0</v>
      </c>
      <c r="F109" s="4">
        <f t="shared" si="13"/>
        <v>4.5450510756301993E-2</v>
      </c>
      <c r="G109" s="4">
        <f t="shared" si="13"/>
        <v>8.2220746361171562E-2</v>
      </c>
      <c r="H109" s="4">
        <f t="shared" si="13"/>
        <v>0.11899098196604131</v>
      </c>
      <c r="I109" s="4">
        <f t="shared" si="13"/>
        <v>0.13303596219275982</v>
      </c>
      <c r="J109" s="4">
        <f t="shared" si="13"/>
        <v>0.14708094241947864</v>
      </c>
      <c r="K109" s="4">
        <f t="shared" si="13"/>
        <v>0.13303596219275982</v>
      </c>
      <c r="L109" s="4">
        <f t="shared" si="13"/>
        <v>0.11899098196604131</v>
      </c>
      <c r="M109" s="4">
        <f t="shared" si="13"/>
        <v>8.2220746361171562E-2</v>
      </c>
      <c r="N109" s="4">
        <f t="shared" si="13"/>
        <v>4.5450510756301993E-2</v>
      </c>
      <c r="O109">
        <f t="shared" si="11"/>
        <v>0</v>
      </c>
    </row>
    <row r="110" spans="3:15" x14ac:dyDescent="0.35">
      <c r="C110">
        <v>99</v>
      </c>
      <c r="D110" s="4">
        <v>481.82112000000001</v>
      </c>
      <c r="E110" s="4">
        <f t="shared" si="9"/>
        <v>0</v>
      </c>
      <c r="F110" s="4">
        <f t="shared" si="13"/>
        <v>4.1110373180585781E-2</v>
      </c>
      <c r="G110" s="4">
        <f t="shared" si="13"/>
        <v>8.2220746361171659E-2</v>
      </c>
      <c r="H110" s="4">
        <f t="shared" si="13"/>
        <v>0.10762835427696568</v>
      </c>
      <c r="I110" s="4">
        <f t="shared" si="13"/>
        <v>0.13303596219275998</v>
      </c>
      <c r="J110" s="4">
        <f t="shared" si="13"/>
        <v>0.13303596219275982</v>
      </c>
      <c r="K110" s="4">
        <f t="shared" si="13"/>
        <v>0.13303596219275998</v>
      </c>
      <c r="L110" s="4">
        <f t="shared" si="13"/>
        <v>0.10762835427696568</v>
      </c>
      <c r="M110" s="4">
        <f t="shared" si="13"/>
        <v>8.2220746361171659E-2</v>
      </c>
      <c r="N110" s="4">
        <f t="shared" si="13"/>
        <v>4.1110373180585781E-2</v>
      </c>
      <c r="O110">
        <f t="shared" si="11"/>
        <v>0</v>
      </c>
    </row>
    <row r="111" spans="3:15" x14ac:dyDescent="0.35">
      <c r="C111">
        <v>100</v>
      </c>
      <c r="D111" s="4">
        <v>486.68799999999999</v>
      </c>
      <c r="E111" s="4">
        <f t="shared" ref="E111:E174" si="14">$E$11</f>
        <v>0</v>
      </c>
      <c r="F111" s="4">
        <f t="shared" si="13"/>
        <v>4.111037318058583E-2</v>
      </c>
      <c r="G111" s="4">
        <f t="shared" si="13"/>
        <v>7.4369363728775728E-2</v>
      </c>
      <c r="H111" s="4">
        <f t="shared" si="13"/>
        <v>0.10762835427696582</v>
      </c>
      <c r="I111" s="4">
        <f t="shared" si="13"/>
        <v>0.12033215823486275</v>
      </c>
      <c r="J111" s="4">
        <f t="shared" si="13"/>
        <v>0.13303596219275998</v>
      </c>
      <c r="K111" s="4">
        <f t="shared" si="13"/>
        <v>0.12033215823486275</v>
      </c>
      <c r="L111" s="4">
        <f t="shared" si="13"/>
        <v>0.10762835427696582</v>
      </c>
      <c r="M111" s="4">
        <f t="shared" si="13"/>
        <v>7.4369363728775728E-2</v>
      </c>
      <c r="N111" s="4">
        <f t="shared" si="13"/>
        <v>4.111037318058583E-2</v>
      </c>
      <c r="O111">
        <f t="shared" ref="O111:O174" si="15">$O$11</f>
        <v>0</v>
      </c>
    </row>
    <row r="112" spans="3:15" x14ac:dyDescent="0.35">
      <c r="C112">
        <v>101</v>
      </c>
      <c r="D112" s="4">
        <v>491.55488000000003</v>
      </c>
      <c r="E112" s="4">
        <f t="shared" si="14"/>
        <v>0</v>
      </c>
      <c r="F112" s="4">
        <f t="shared" si="13"/>
        <v>3.7184681864387864E-2</v>
      </c>
      <c r="G112" s="4">
        <f t="shared" si="13"/>
        <v>7.4369363728775825E-2</v>
      </c>
      <c r="H112" s="4">
        <f t="shared" si="13"/>
        <v>9.7350760981819245E-2</v>
      </c>
      <c r="I112" s="4">
        <f t="shared" si="13"/>
        <v>0.1203321582348629</v>
      </c>
      <c r="J112" s="4">
        <f t="shared" si="13"/>
        <v>0.12033215823486275</v>
      </c>
      <c r="K112" s="4">
        <f t="shared" si="13"/>
        <v>0.1203321582348629</v>
      </c>
      <c r="L112" s="4">
        <f t="shared" si="13"/>
        <v>9.7350760981819245E-2</v>
      </c>
      <c r="M112" s="4">
        <f t="shared" si="13"/>
        <v>7.4369363728775825E-2</v>
      </c>
      <c r="N112" s="4">
        <f t="shared" si="13"/>
        <v>3.7184681864387864E-2</v>
      </c>
      <c r="O112">
        <f t="shared" si="15"/>
        <v>0</v>
      </c>
    </row>
    <row r="113" spans="3:15" x14ac:dyDescent="0.35">
      <c r="C113">
        <v>102</v>
      </c>
      <c r="D113" s="4">
        <v>496.42176000000001</v>
      </c>
      <c r="E113" s="4">
        <f t="shared" si="14"/>
        <v>0</v>
      </c>
      <c r="F113" s="4">
        <f t="shared" si="13"/>
        <v>3.7184681864387913E-2</v>
      </c>
      <c r="G113" s="4">
        <f t="shared" si="13"/>
        <v>6.7267721423103555E-2</v>
      </c>
      <c r="H113" s="4">
        <f t="shared" si="13"/>
        <v>9.7350760981819356E-2</v>
      </c>
      <c r="I113" s="4">
        <f t="shared" si="13"/>
        <v>0.10884145960834099</v>
      </c>
      <c r="J113" s="4">
        <f t="shared" si="13"/>
        <v>0.1203321582348629</v>
      </c>
      <c r="K113" s="4">
        <f t="shared" si="13"/>
        <v>0.10884145960834099</v>
      </c>
      <c r="L113" s="4">
        <f t="shared" si="13"/>
        <v>9.7350760981819356E-2</v>
      </c>
      <c r="M113" s="4">
        <f t="shared" si="13"/>
        <v>6.7267721423103555E-2</v>
      </c>
      <c r="N113" s="4">
        <f t="shared" si="13"/>
        <v>3.7184681864387913E-2</v>
      </c>
      <c r="O113">
        <f t="shared" si="15"/>
        <v>0</v>
      </c>
    </row>
    <row r="114" spans="3:15" x14ac:dyDescent="0.35">
      <c r="C114">
        <v>103</v>
      </c>
      <c r="D114" s="4">
        <v>501.28863999999999</v>
      </c>
      <c r="E114" s="4">
        <f t="shared" si="14"/>
        <v>0</v>
      </c>
      <c r="F114" s="4">
        <f t="shared" si="13"/>
        <v>3.3633860711551777E-2</v>
      </c>
      <c r="G114" s="4">
        <f t="shared" si="13"/>
        <v>6.7267721423103638E-2</v>
      </c>
      <c r="H114" s="4">
        <f t="shared" si="13"/>
        <v>8.8054590515722272E-2</v>
      </c>
      <c r="I114" s="4">
        <f t="shared" si="13"/>
        <v>0.10884145960834113</v>
      </c>
      <c r="J114" s="4">
        <f t="shared" si="13"/>
        <v>0.10884145960834099</v>
      </c>
      <c r="K114" s="4">
        <f t="shared" si="13"/>
        <v>0.10884145960834113</v>
      </c>
      <c r="L114" s="4">
        <f t="shared" si="13"/>
        <v>8.8054590515722272E-2</v>
      </c>
      <c r="M114" s="4">
        <f t="shared" si="13"/>
        <v>6.7267721423103638E-2</v>
      </c>
      <c r="N114" s="4">
        <f t="shared" si="13"/>
        <v>3.3633860711551777E-2</v>
      </c>
      <c r="O114">
        <f t="shared" si="15"/>
        <v>0</v>
      </c>
    </row>
    <row r="115" spans="3:15" x14ac:dyDescent="0.35">
      <c r="C115">
        <v>104</v>
      </c>
      <c r="D115" s="4">
        <v>506.15552000000002</v>
      </c>
      <c r="E115" s="4">
        <f t="shared" si="14"/>
        <v>0</v>
      </c>
      <c r="F115" s="4">
        <f t="shared" si="13"/>
        <v>3.3633860711551819E-2</v>
      </c>
      <c r="G115" s="4">
        <f t="shared" si="13"/>
        <v>6.0844225613637025E-2</v>
      </c>
      <c r="H115" s="4">
        <f t="shared" si="13"/>
        <v>8.8054590515722383E-2</v>
      </c>
      <c r="I115" s="4">
        <f t="shared" si="13"/>
        <v>9.8448025062031624E-2</v>
      </c>
      <c r="J115" s="4">
        <f t="shared" si="13"/>
        <v>0.10884145960834113</v>
      </c>
      <c r="K115" s="4">
        <f t="shared" si="13"/>
        <v>9.8448025062031624E-2</v>
      </c>
      <c r="L115" s="4">
        <f t="shared" si="13"/>
        <v>8.8054590515722383E-2</v>
      </c>
      <c r="M115" s="4">
        <f t="shared" si="13"/>
        <v>6.0844225613637025E-2</v>
      </c>
      <c r="N115" s="4">
        <f t="shared" si="13"/>
        <v>3.3633860711551819E-2</v>
      </c>
      <c r="O115">
        <f t="shared" si="15"/>
        <v>0</v>
      </c>
    </row>
    <row r="116" spans="3:15" x14ac:dyDescent="0.35">
      <c r="C116">
        <v>105</v>
      </c>
      <c r="D116" s="4">
        <v>511.0224</v>
      </c>
      <c r="E116" s="4">
        <f t="shared" si="14"/>
        <v>0</v>
      </c>
      <c r="F116" s="4">
        <f t="shared" si="13"/>
        <v>3.0422112806818512E-2</v>
      </c>
      <c r="G116" s="4">
        <f t="shared" si="13"/>
        <v>6.0844225613637101E-2</v>
      </c>
      <c r="H116" s="4">
        <f t="shared" si="13"/>
        <v>7.9646125337834328E-2</v>
      </c>
      <c r="I116" s="4">
        <f t="shared" si="13"/>
        <v>9.8448025062031763E-2</v>
      </c>
      <c r="J116" s="4">
        <f t="shared" si="13"/>
        <v>9.8448025062031624E-2</v>
      </c>
      <c r="K116" s="4">
        <f t="shared" si="13"/>
        <v>9.8448025062031763E-2</v>
      </c>
      <c r="L116" s="4">
        <f t="shared" si="13"/>
        <v>7.9646125337834328E-2</v>
      </c>
      <c r="M116" s="4">
        <f t="shared" si="13"/>
        <v>6.0844225613637101E-2</v>
      </c>
      <c r="N116" s="4">
        <f t="shared" si="13"/>
        <v>3.0422112806818512E-2</v>
      </c>
      <c r="O116">
        <f t="shared" si="15"/>
        <v>0</v>
      </c>
    </row>
    <row r="117" spans="3:15" x14ac:dyDescent="0.35">
      <c r="C117">
        <v>106</v>
      </c>
      <c r="D117" s="4">
        <v>515.88927999999999</v>
      </c>
      <c r="E117" s="4">
        <f t="shared" si="14"/>
        <v>0</v>
      </c>
      <c r="F117" s="4">
        <f t="shared" si="13"/>
        <v>3.0422112806818551E-2</v>
      </c>
      <c r="G117" s="4">
        <f t="shared" si="13"/>
        <v>5.5034119072326422E-2</v>
      </c>
      <c r="H117" s="4">
        <f t="shared" si="13"/>
        <v>7.9646125337834439E-2</v>
      </c>
      <c r="I117" s="4">
        <f t="shared" si="13"/>
        <v>8.9047075199932976E-2</v>
      </c>
      <c r="J117" s="4">
        <f t="shared" si="13"/>
        <v>9.8448025062031763E-2</v>
      </c>
      <c r="K117" s="4">
        <f t="shared" si="13"/>
        <v>8.9047075199932976E-2</v>
      </c>
      <c r="L117" s="4">
        <f t="shared" si="13"/>
        <v>7.9646125337834439E-2</v>
      </c>
      <c r="M117" s="4">
        <f t="shared" si="13"/>
        <v>5.5034119072326422E-2</v>
      </c>
      <c r="N117" s="4">
        <f t="shared" si="13"/>
        <v>3.0422112806818551E-2</v>
      </c>
      <c r="O117">
        <f t="shared" si="15"/>
        <v>0</v>
      </c>
    </row>
    <row r="118" spans="3:15" x14ac:dyDescent="0.35">
      <c r="C118">
        <v>107</v>
      </c>
      <c r="D118" s="4">
        <v>520.75616000000002</v>
      </c>
      <c r="E118" s="4">
        <f t="shared" si="14"/>
        <v>0</v>
      </c>
      <c r="F118" s="4">
        <f t="shared" si="13"/>
        <v>2.7517059536163211E-2</v>
      </c>
      <c r="G118" s="4">
        <f t="shared" si="13"/>
        <v>5.5034119072326498E-2</v>
      </c>
      <c r="H118" s="4">
        <f t="shared" si="13"/>
        <v>7.2040597136129703E-2</v>
      </c>
      <c r="I118" s="4">
        <f t="shared" si="13"/>
        <v>8.9047075199933101E-2</v>
      </c>
      <c r="J118" s="4">
        <f t="shared" si="13"/>
        <v>8.9047075199932976E-2</v>
      </c>
      <c r="K118" s="4">
        <f t="shared" si="13"/>
        <v>8.9047075199933101E-2</v>
      </c>
      <c r="L118" s="4">
        <f t="shared" si="13"/>
        <v>7.2040597136129703E-2</v>
      </c>
      <c r="M118" s="4">
        <f t="shared" si="13"/>
        <v>5.5034119072326498E-2</v>
      </c>
      <c r="N118" s="4">
        <f t="shared" si="13"/>
        <v>2.7517059536163211E-2</v>
      </c>
      <c r="O118">
        <f t="shared" si="15"/>
        <v>0</v>
      </c>
    </row>
    <row r="119" spans="3:15" x14ac:dyDescent="0.35">
      <c r="C119">
        <v>108</v>
      </c>
      <c r="D119" s="4">
        <v>525.62303999999995</v>
      </c>
      <c r="E119" s="4">
        <f t="shared" si="14"/>
        <v>0</v>
      </c>
      <c r="F119" s="4">
        <f t="shared" si="13"/>
        <v>2.7517059536163249E-2</v>
      </c>
      <c r="G119" s="4">
        <f t="shared" si="13"/>
        <v>4.9778828336146455E-2</v>
      </c>
      <c r="H119" s="4">
        <f t="shared" si="13"/>
        <v>7.20405971361298E-2</v>
      </c>
      <c r="I119" s="4">
        <f t="shared" si="13"/>
        <v>8.0543836168031346E-2</v>
      </c>
      <c r="J119" s="4">
        <f t="shared" si="13"/>
        <v>8.9047075199933101E-2</v>
      </c>
      <c r="K119" s="4">
        <f t="shared" si="13"/>
        <v>8.0543836168031346E-2</v>
      </c>
      <c r="L119" s="4">
        <f t="shared" ref="G119:N134" si="16">(K118+M118)/2</f>
        <v>7.20405971361298E-2</v>
      </c>
      <c r="M119" s="4">
        <f t="shared" si="16"/>
        <v>4.9778828336146455E-2</v>
      </c>
      <c r="N119" s="4">
        <f t="shared" si="16"/>
        <v>2.7517059536163249E-2</v>
      </c>
      <c r="O119">
        <f t="shared" si="15"/>
        <v>0</v>
      </c>
    </row>
    <row r="120" spans="3:15" x14ac:dyDescent="0.35">
      <c r="C120">
        <v>109</v>
      </c>
      <c r="D120" s="4">
        <v>530.48991999999998</v>
      </c>
      <c r="E120" s="4">
        <f t="shared" si="14"/>
        <v>0</v>
      </c>
      <c r="F120" s="4">
        <f t="shared" ref="F120:N135" si="17">(E119+G119)/2</f>
        <v>2.4889414168073228E-2</v>
      </c>
      <c r="G120" s="4">
        <f t="shared" si="16"/>
        <v>4.9778828336146524E-2</v>
      </c>
      <c r="H120" s="4">
        <f t="shared" si="16"/>
        <v>6.5161332252088894E-2</v>
      </c>
      <c r="I120" s="4">
        <f t="shared" si="16"/>
        <v>8.0543836168031457E-2</v>
      </c>
      <c r="J120" s="4">
        <f t="shared" si="16"/>
        <v>8.0543836168031346E-2</v>
      </c>
      <c r="K120" s="4">
        <f t="shared" si="16"/>
        <v>8.0543836168031457E-2</v>
      </c>
      <c r="L120" s="4">
        <f t="shared" si="16"/>
        <v>6.5161332252088894E-2</v>
      </c>
      <c r="M120" s="4">
        <f t="shared" si="16"/>
        <v>4.9778828336146524E-2</v>
      </c>
      <c r="N120" s="4">
        <f t="shared" si="16"/>
        <v>2.4889414168073228E-2</v>
      </c>
      <c r="O120">
        <f t="shared" si="15"/>
        <v>0</v>
      </c>
    </row>
    <row r="121" spans="3:15" x14ac:dyDescent="0.35">
      <c r="C121">
        <v>110</v>
      </c>
      <c r="D121" s="4">
        <v>535.35680000000002</v>
      </c>
      <c r="E121" s="4">
        <f t="shared" si="14"/>
        <v>0</v>
      </c>
      <c r="F121" s="4">
        <f t="shared" si="17"/>
        <v>2.4889414168073262E-2</v>
      </c>
      <c r="G121" s="4">
        <f t="shared" si="16"/>
        <v>4.5025373210081057E-2</v>
      </c>
      <c r="H121" s="4">
        <f t="shared" si="16"/>
        <v>6.5161332252088991E-2</v>
      </c>
      <c r="I121" s="4">
        <f t="shared" si="16"/>
        <v>7.285258421006012E-2</v>
      </c>
      <c r="J121" s="4">
        <f t="shared" si="16"/>
        <v>8.0543836168031457E-2</v>
      </c>
      <c r="K121" s="4">
        <f t="shared" si="16"/>
        <v>7.285258421006012E-2</v>
      </c>
      <c r="L121" s="4">
        <f t="shared" si="16"/>
        <v>6.5161332252088991E-2</v>
      </c>
      <c r="M121" s="4">
        <f t="shared" si="16"/>
        <v>4.5025373210081057E-2</v>
      </c>
      <c r="N121" s="4">
        <f t="shared" si="16"/>
        <v>2.4889414168073262E-2</v>
      </c>
      <c r="O121">
        <f t="shared" si="15"/>
        <v>0</v>
      </c>
    </row>
    <row r="122" spans="3:15" x14ac:dyDescent="0.35">
      <c r="C122">
        <v>111</v>
      </c>
      <c r="D122" s="4">
        <v>540.22367999999994</v>
      </c>
      <c r="E122" s="4">
        <f t="shared" si="14"/>
        <v>0</v>
      </c>
      <c r="F122" s="4">
        <f t="shared" si="17"/>
        <v>2.2512686605040529E-2</v>
      </c>
      <c r="G122" s="4">
        <f t="shared" si="16"/>
        <v>4.5025373210081127E-2</v>
      </c>
      <c r="H122" s="4">
        <f t="shared" si="16"/>
        <v>5.8938978710070589E-2</v>
      </c>
      <c r="I122" s="4">
        <f t="shared" si="16"/>
        <v>7.2852584210060217E-2</v>
      </c>
      <c r="J122" s="4">
        <f t="shared" si="16"/>
        <v>7.285258421006012E-2</v>
      </c>
      <c r="K122" s="4">
        <f t="shared" si="16"/>
        <v>7.2852584210060217E-2</v>
      </c>
      <c r="L122" s="4">
        <f t="shared" si="16"/>
        <v>5.8938978710070589E-2</v>
      </c>
      <c r="M122" s="4">
        <f t="shared" si="16"/>
        <v>4.5025373210081127E-2</v>
      </c>
      <c r="N122" s="4">
        <f t="shared" si="16"/>
        <v>2.2512686605040529E-2</v>
      </c>
      <c r="O122">
        <f t="shared" si="15"/>
        <v>0</v>
      </c>
    </row>
    <row r="123" spans="3:15" x14ac:dyDescent="0.35">
      <c r="C123">
        <v>112</v>
      </c>
      <c r="D123" s="4">
        <v>545.09055999999998</v>
      </c>
      <c r="E123" s="4">
        <f t="shared" si="14"/>
        <v>0</v>
      </c>
      <c r="F123" s="4">
        <f t="shared" si="17"/>
        <v>2.2512686605040563E-2</v>
      </c>
      <c r="G123" s="4">
        <f t="shared" si="16"/>
        <v>4.0725832657555555E-2</v>
      </c>
      <c r="H123" s="4">
        <f t="shared" si="16"/>
        <v>5.8938978710070672E-2</v>
      </c>
      <c r="I123" s="4">
        <f t="shared" si="16"/>
        <v>6.5895781460065361E-2</v>
      </c>
      <c r="J123" s="4">
        <f t="shared" si="16"/>
        <v>7.2852584210060217E-2</v>
      </c>
      <c r="K123" s="4">
        <f t="shared" si="16"/>
        <v>6.5895781460065361E-2</v>
      </c>
      <c r="L123" s="4">
        <f t="shared" si="16"/>
        <v>5.8938978710070672E-2</v>
      </c>
      <c r="M123" s="4">
        <f t="shared" si="16"/>
        <v>4.0725832657555555E-2</v>
      </c>
      <c r="N123" s="4">
        <f t="shared" si="16"/>
        <v>2.2512686605040563E-2</v>
      </c>
      <c r="O123">
        <f t="shared" si="15"/>
        <v>0</v>
      </c>
    </row>
    <row r="124" spans="3:15" x14ac:dyDescent="0.35">
      <c r="C124">
        <v>113</v>
      </c>
      <c r="D124" s="4">
        <v>549.95744000000002</v>
      </c>
      <c r="E124" s="4">
        <f t="shared" si="14"/>
        <v>0</v>
      </c>
      <c r="F124" s="4">
        <f t="shared" si="17"/>
        <v>2.0362916328777778E-2</v>
      </c>
      <c r="G124" s="4">
        <f t="shared" si="16"/>
        <v>4.0725832657555618E-2</v>
      </c>
      <c r="H124" s="4">
        <f t="shared" si="16"/>
        <v>5.3310807058810458E-2</v>
      </c>
      <c r="I124" s="4">
        <f t="shared" si="16"/>
        <v>6.5895781460065445E-2</v>
      </c>
      <c r="J124" s="4">
        <f t="shared" si="16"/>
        <v>6.5895781460065361E-2</v>
      </c>
      <c r="K124" s="4">
        <f t="shared" si="16"/>
        <v>6.5895781460065445E-2</v>
      </c>
      <c r="L124" s="4">
        <f t="shared" si="16"/>
        <v>5.3310807058810458E-2</v>
      </c>
      <c r="M124" s="4">
        <f t="shared" si="16"/>
        <v>4.0725832657555618E-2</v>
      </c>
      <c r="N124" s="4">
        <f t="shared" si="16"/>
        <v>2.0362916328777778E-2</v>
      </c>
      <c r="O124">
        <f t="shared" si="15"/>
        <v>0</v>
      </c>
    </row>
    <row r="125" spans="3:15" x14ac:dyDescent="0.35">
      <c r="C125">
        <v>114</v>
      </c>
      <c r="D125" s="4">
        <v>554.82431999999994</v>
      </c>
      <c r="E125" s="4">
        <f t="shared" si="14"/>
        <v>0</v>
      </c>
      <c r="F125" s="4">
        <f t="shared" si="17"/>
        <v>2.0362916328777809E-2</v>
      </c>
      <c r="G125" s="4">
        <f t="shared" si="16"/>
        <v>3.6836861693794118E-2</v>
      </c>
      <c r="H125" s="4">
        <f t="shared" si="16"/>
        <v>5.3310807058810528E-2</v>
      </c>
      <c r="I125" s="4">
        <f t="shared" si="16"/>
        <v>5.960329425943791E-2</v>
      </c>
      <c r="J125" s="4">
        <f t="shared" si="16"/>
        <v>6.5895781460065445E-2</v>
      </c>
      <c r="K125" s="4">
        <f t="shared" si="16"/>
        <v>5.960329425943791E-2</v>
      </c>
      <c r="L125" s="4">
        <f t="shared" si="16"/>
        <v>5.3310807058810528E-2</v>
      </c>
      <c r="M125" s="4">
        <f t="shared" si="16"/>
        <v>3.6836861693794118E-2</v>
      </c>
      <c r="N125" s="4">
        <f t="shared" si="16"/>
        <v>2.0362916328777809E-2</v>
      </c>
      <c r="O125">
        <f t="shared" si="15"/>
        <v>0</v>
      </c>
    </row>
    <row r="126" spans="3:15" x14ac:dyDescent="0.35">
      <c r="C126">
        <v>115</v>
      </c>
      <c r="D126" s="4">
        <v>559.69119999999998</v>
      </c>
      <c r="E126" s="4">
        <f t="shared" si="14"/>
        <v>0</v>
      </c>
      <c r="F126" s="4">
        <f t="shared" si="17"/>
        <v>1.8418430846897059E-2</v>
      </c>
      <c r="G126" s="4">
        <f t="shared" si="16"/>
        <v>3.6836861693794166E-2</v>
      </c>
      <c r="H126" s="4">
        <f t="shared" si="16"/>
        <v>4.822007797661601E-2</v>
      </c>
      <c r="I126" s="4">
        <f t="shared" si="16"/>
        <v>5.9603294259437986E-2</v>
      </c>
      <c r="J126" s="4">
        <f t="shared" si="16"/>
        <v>5.960329425943791E-2</v>
      </c>
      <c r="K126" s="4">
        <f t="shared" si="16"/>
        <v>5.9603294259437986E-2</v>
      </c>
      <c r="L126" s="4">
        <f t="shared" si="16"/>
        <v>4.822007797661601E-2</v>
      </c>
      <c r="M126" s="4">
        <f t="shared" si="16"/>
        <v>3.6836861693794166E-2</v>
      </c>
      <c r="N126" s="4">
        <f t="shared" si="16"/>
        <v>1.8418430846897059E-2</v>
      </c>
      <c r="O126">
        <f t="shared" si="15"/>
        <v>0</v>
      </c>
    </row>
    <row r="127" spans="3:15" x14ac:dyDescent="0.35">
      <c r="C127">
        <v>116</v>
      </c>
      <c r="D127" s="4">
        <v>564.55808000000002</v>
      </c>
      <c r="E127" s="4">
        <f t="shared" si="14"/>
        <v>0</v>
      </c>
      <c r="F127" s="4">
        <f t="shared" si="17"/>
        <v>1.8418430846897083E-2</v>
      </c>
      <c r="G127" s="4">
        <f t="shared" si="16"/>
        <v>3.3319254411756538E-2</v>
      </c>
      <c r="H127" s="4">
        <f t="shared" si="16"/>
        <v>4.822007797661608E-2</v>
      </c>
      <c r="I127" s="4">
        <f t="shared" si="16"/>
        <v>5.3911686118026964E-2</v>
      </c>
      <c r="J127" s="4">
        <f t="shared" si="16"/>
        <v>5.9603294259437986E-2</v>
      </c>
      <c r="K127" s="4">
        <f t="shared" si="16"/>
        <v>5.3911686118026964E-2</v>
      </c>
      <c r="L127" s="4">
        <f t="shared" si="16"/>
        <v>4.822007797661608E-2</v>
      </c>
      <c r="M127" s="4">
        <f t="shared" si="16"/>
        <v>3.3319254411756538E-2</v>
      </c>
      <c r="N127" s="4">
        <f t="shared" si="16"/>
        <v>1.8418430846897083E-2</v>
      </c>
      <c r="O127">
        <f t="shared" si="15"/>
        <v>0</v>
      </c>
    </row>
    <row r="128" spans="3:15" x14ac:dyDescent="0.35">
      <c r="C128">
        <v>117</v>
      </c>
      <c r="D128" s="4">
        <v>569.42496000000006</v>
      </c>
      <c r="E128" s="4">
        <f t="shared" si="14"/>
        <v>0</v>
      </c>
      <c r="F128" s="4">
        <f t="shared" si="17"/>
        <v>1.6659627205878269E-2</v>
      </c>
      <c r="G128" s="4">
        <f t="shared" si="16"/>
        <v>3.331925441175658E-2</v>
      </c>
      <c r="H128" s="4">
        <f t="shared" si="16"/>
        <v>4.3615470264891751E-2</v>
      </c>
      <c r="I128" s="4">
        <f t="shared" si="16"/>
        <v>5.3911686118027033E-2</v>
      </c>
      <c r="J128" s="4">
        <f t="shared" si="16"/>
        <v>5.3911686118026964E-2</v>
      </c>
      <c r="K128" s="4">
        <f t="shared" si="16"/>
        <v>5.3911686118027033E-2</v>
      </c>
      <c r="L128" s="4">
        <f t="shared" si="16"/>
        <v>4.3615470264891751E-2</v>
      </c>
      <c r="M128" s="4">
        <f t="shared" si="16"/>
        <v>3.331925441175658E-2</v>
      </c>
      <c r="N128" s="4">
        <f t="shared" si="16"/>
        <v>1.6659627205878269E-2</v>
      </c>
      <c r="O128">
        <f t="shared" si="15"/>
        <v>0</v>
      </c>
    </row>
    <row r="129" spans="3:15" x14ac:dyDescent="0.35">
      <c r="C129">
        <v>118</v>
      </c>
      <c r="D129" s="4">
        <v>574.29183999999998</v>
      </c>
      <c r="E129" s="4">
        <f t="shared" si="14"/>
        <v>0</v>
      </c>
      <c r="F129" s="4">
        <f t="shared" si="17"/>
        <v>1.665962720587829E-2</v>
      </c>
      <c r="G129" s="4">
        <f t="shared" si="16"/>
        <v>3.013754873538501E-2</v>
      </c>
      <c r="H129" s="4">
        <f t="shared" si="16"/>
        <v>4.3615470264891806E-2</v>
      </c>
      <c r="I129" s="4">
        <f t="shared" si="16"/>
        <v>4.8763578191459357E-2</v>
      </c>
      <c r="J129" s="4">
        <f t="shared" si="16"/>
        <v>5.3911686118027033E-2</v>
      </c>
      <c r="K129" s="4">
        <f t="shared" si="16"/>
        <v>4.8763578191459357E-2</v>
      </c>
      <c r="L129" s="4">
        <f t="shared" si="16"/>
        <v>4.3615470264891806E-2</v>
      </c>
      <c r="M129" s="4">
        <f t="shared" si="16"/>
        <v>3.013754873538501E-2</v>
      </c>
      <c r="N129" s="4">
        <f t="shared" si="16"/>
        <v>1.665962720587829E-2</v>
      </c>
      <c r="O129">
        <f t="shared" si="15"/>
        <v>0</v>
      </c>
    </row>
    <row r="130" spans="3:15" x14ac:dyDescent="0.35">
      <c r="C130">
        <v>119</v>
      </c>
      <c r="D130" s="4">
        <v>579.15872000000002</v>
      </c>
      <c r="E130" s="4">
        <f t="shared" si="14"/>
        <v>0</v>
      </c>
      <c r="F130" s="4">
        <f t="shared" si="17"/>
        <v>1.5068774367692505E-2</v>
      </c>
      <c r="G130" s="4">
        <f t="shared" si="16"/>
        <v>3.0137548735385048E-2</v>
      </c>
      <c r="H130" s="4">
        <f t="shared" si="16"/>
        <v>3.9450563463422184E-2</v>
      </c>
      <c r="I130" s="4">
        <f t="shared" si="16"/>
        <v>4.876357819145942E-2</v>
      </c>
      <c r="J130" s="4">
        <f t="shared" si="16"/>
        <v>4.8763578191459357E-2</v>
      </c>
      <c r="K130" s="4">
        <f t="shared" si="16"/>
        <v>4.876357819145942E-2</v>
      </c>
      <c r="L130" s="4">
        <f t="shared" si="16"/>
        <v>3.9450563463422184E-2</v>
      </c>
      <c r="M130" s="4">
        <f t="shared" si="16"/>
        <v>3.0137548735385048E-2</v>
      </c>
      <c r="N130" s="4">
        <f t="shared" si="16"/>
        <v>1.5068774367692505E-2</v>
      </c>
      <c r="O130">
        <f t="shared" si="15"/>
        <v>0</v>
      </c>
    </row>
    <row r="131" spans="3:15" x14ac:dyDescent="0.35">
      <c r="C131">
        <v>120</v>
      </c>
      <c r="D131" s="4">
        <v>584.02560000000005</v>
      </c>
      <c r="E131" s="4">
        <f t="shared" si="14"/>
        <v>0</v>
      </c>
      <c r="F131" s="4">
        <f t="shared" si="17"/>
        <v>1.5068774367692524E-2</v>
      </c>
      <c r="G131" s="4">
        <f t="shared" si="16"/>
        <v>2.7259668915557346E-2</v>
      </c>
      <c r="H131" s="4">
        <f t="shared" si="16"/>
        <v>3.9450563463422232E-2</v>
      </c>
      <c r="I131" s="4">
        <f t="shared" si="16"/>
        <v>4.4107070827440767E-2</v>
      </c>
      <c r="J131" s="4">
        <f t="shared" si="16"/>
        <v>4.876357819145942E-2</v>
      </c>
      <c r="K131" s="4">
        <f t="shared" si="16"/>
        <v>4.4107070827440767E-2</v>
      </c>
      <c r="L131" s="4">
        <f t="shared" si="16"/>
        <v>3.9450563463422232E-2</v>
      </c>
      <c r="M131" s="4">
        <f t="shared" si="16"/>
        <v>2.7259668915557346E-2</v>
      </c>
      <c r="N131" s="4">
        <f t="shared" si="16"/>
        <v>1.5068774367692524E-2</v>
      </c>
      <c r="O131">
        <f t="shared" si="15"/>
        <v>0</v>
      </c>
    </row>
    <row r="132" spans="3:15" x14ac:dyDescent="0.35">
      <c r="C132">
        <v>121</v>
      </c>
      <c r="D132" s="4">
        <v>588.89247999999998</v>
      </c>
      <c r="E132" s="4">
        <f t="shared" si="14"/>
        <v>0</v>
      </c>
      <c r="F132" s="4">
        <f t="shared" si="17"/>
        <v>1.3629834457778673E-2</v>
      </c>
      <c r="G132" s="4">
        <f t="shared" si="16"/>
        <v>2.7259668915557377E-2</v>
      </c>
      <c r="H132" s="4">
        <f t="shared" si="16"/>
        <v>3.568336987149906E-2</v>
      </c>
      <c r="I132" s="4">
        <f t="shared" si="16"/>
        <v>4.4107070827440822E-2</v>
      </c>
      <c r="J132" s="4">
        <f t="shared" si="16"/>
        <v>4.4107070827440767E-2</v>
      </c>
      <c r="K132" s="4">
        <f t="shared" si="16"/>
        <v>4.4107070827440822E-2</v>
      </c>
      <c r="L132" s="4">
        <f t="shared" si="16"/>
        <v>3.568336987149906E-2</v>
      </c>
      <c r="M132" s="4">
        <f t="shared" si="16"/>
        <v>2.7259668915557377E-2</v>
      </c>
      <c r="N132" s="4">
        <f t="shared" si="16"/>
        <v>1.3629834457778673E-2</v>
      </c>
      <c r="O132">
        <f t="shared" si="15"/>
        <v>0</v>
      </c>
    </row>
    <row r="133" spans="3:15" x14ac:dyDescent="0.35">
      <c r="C133">
        <v>122</v>
      </c>
      <c r="D133" s="4">
        <v>593.75936000000002</v>
      </c>
      <c r="E133" s="4">
        <f t="shared" si="14"/>
        <v>0</v>
      </c>
      <c r="F133" s="4">
        <f t="shared" si="17"/>
        <v>1.3629834457778689E-2</v>
      </c>
      <c r="G133" s="4">
        <f t="shared" si="16"/>
        <v>2.4656602164638865E-2</v>
      </c>
      <c r="H133" s="4">
        <f t="shared" si="16"/>
        <v>3.5683369871499102E-2</v>
      </c>
      <c r="I133" s="4">
        <f t="shared" si="16"/>
        <v>3.9895220349469913E-2</v>
      </c>
      <c r="J133" s="4">
        <f t="shared" si="16"/>
        <v>4.4107070827440822E-2</v>
      </c>
      <c r="K133" s="4">
        <f t="shared" si="16"/>
        <v>3.9895220349469913E-2</v>
      </c>
      <c r="L133" s="4">
        <f t="shared" si="16"/>
        <v>3.5683369871499102E-2</v>
      </c>
      <c r="M133" s="4">
        <f t="shared" si="16"/>
        <v>2.4656602164638865E-2</v>
      </c>
      <c r="N133" s="4">
        <f t="shared" si="16"/>
        <v>1.3629834457778689E-2</v>
      </c>
      <c r="O133">
        <f t="shared" si="15"/>
        <v>0</v>
      </c>
    </row>
    <row r="134" spans="3:15" x14ac:dyDescent="0.35">
      <c r="C134">
        <v>123</v>
      </c>
      <c r="D134" s="4">
        <v>598.62624000000005</v>
      </c>
      <c r="E134" s="4">
        <f t="shared" si="14"/>
        <v>0</v>
      </c>
      <c r="F134" s="4">
        <f t="shared" si="17"/>
        <v>1.2328301082319432E-2</v>
      </c>
      <c r="G134" s="4">
        <f t="shared" si="16"/>
        <v>2.4656602164638896E-2</v>
      </c>
      <c r="H134" s="4">
        <f t="shared" si="16"/>
        <v>3.2275911257054389E-2</v>
      </c>
      <c r="I134" s="4">
        <f t="shared" si="16"/>
        <v>3.9895220349469962E-2</v>
      </c>
      <c r="J134" s="4">
        <f t="shared" si="16"/>
        <v>3.9895220349469913E-2</v>
      </c>
      <c r="K134" s="4">
        <f t="shared" si="16"/>
        <v>3.9895220349469962E-2</v>
      </c>
      <c r="L134" s="4">
        <f t="shared" si="16"/>
        <v>3.2275911257054389E-2</v>
      </c>
      <c r="M134" s="4">
        <f t="shared" si="16"/>
        <v>2.4656602164638896E-2</v>
      </c>
      <c r="N134" s="4">
        <f t="shared" si="16"/>
        <v>1.2328301082319432E-2</v>
      </c>
      <c r="O134">
        <f t="shared" si="15"/>
        <v>0</v>
      </c>
    </row>
    <row r="135" spans="3:15" x14ac:dyDescent="0.35">
      <c r="C135">
        <v>124</v>
      </c>
      <c r="D135" s="4">
        <v>603.49311999999998</v>
      </c>
      <c r="E135" s="4">
        <f t="shared" si="14"/>
        <v>0</v>
      </c>
      <c r="F135" s="4">
        <f t="shared" si="17"/>
        <v>1.2328301082319448E-2</v>
      </c>
      <c r="G135" s="4">
        <f t="shared" si="17"/>
        <v>2.2302106169686912E-2</v>
      </c>
      <c r="H135" s="4">
        <f t="shared" si="17"/>
        <v>3.2275911257054431E-2</v>
      </c>
      <c r="I135" s="4">
        <f t="shared" si="17"/>
        <v>3.6085565803262151E-2</v>
      </c>
      <c r="J135" s="4">
        <f t="shared" si="17"/>
        <v>3.9895220349469962E-2</v>
      </c>
      <c r="K135" s="4">
        <f t="shared" si="17"/>
        <v>3.6085565803262151E-2</v>
      </c>
      <c r="L135" s="4">
        <f t="shared" si="17"/>
        <v>3.2275911257054431E-2</v>
      </c>
      <c r="M135" s="4">
        <f t="shared" si="17"/>
        <v>2.2302106169686912E-2</v>
      </c>
      <c r="N135" s="4">
        <f t="shared" si="17"/>
        <v>1.2328301082319448E-2</v>
      </c>
      <c r="O135">
        <f t="shared" si="15"/>
        <v>0</v>
      </c>
    </row>
    <row r="136" spans="3:15" x14ac:dyDescent="0.35">
      <c r="C136">
        <v>125</v>
      </c>
      <c r="D136" s="4">
        <v>608.36</v>
      </c>
      <c r="E136" s="4">
        <f t="shared" si="14"/>
        <v>0</v>
      </c>
      <c r="F136" s="4">
        <f t="shared" ref="F136:N164" si="18">(E135+G135)/2</f>
        <v>1.1151053084843456E-2</v>
      </c>
      <c r="G136" s="4">
        <f t="shared" si="18"/>
        <v>2.230210616968694E-2</v>
      </c>
      <c r="H136" s="4">
        <f t="shared" si="18"/>
        <v>2.9193835986474532E-2</v>
      </c>
      <c r="I136" s="4">
        <f t="shared" si="18"/>
        <v>3.6085565803262193E-2</v>
      </c>
      <c r="J136" s="4">
        <f t="shared" si="18"/>
        <v>3.6085565803262151E-2</v>
      </c>
      <c r="K136" s="4">
        <f t="shared" si="18"/>
        <v>3.6085565803262193E-2</v>
      </c>
      <c r="L136" s="4">
        <f t="shared" si="18"/>
        <v>2.9193835986474532E-2</v>
      </c>
      <c r="M136" s="4">
        <f t="shared" si="18"/>
        <v>2.230210616968694E-2</v>
      </c>
      <c r="N136" s="4">
        <f t="shared" si="18"/>
        <v>1.1151053084843456E-2</v>
      </c>
      <c r="O136">
        <f t="shared" si="15"/>
        <v>0</v>
      </c>
    </row>
    <row r="137" spans="3:15" x14ac:dyDescent="0.35">
      <c r="C137">
        <v>126</v>
      </c>
      <c r="D137" s="4">
        <v>613.22688000000005</v>
      </c>
      <c r="E137" s="4">
        <f t="shared" si="14"/>
        <v>0</v>
      </c>
      <c r="F137" s="4">
        <f t="shared" si="18"/>
        <v>1.115105308484347E-2</v>
      </c>
      <c r="G137" s="4">
        <f t="shared" si="18"/>
        <v>2.0172444535658994E-2</v>
      </c>
      <c r="H137" s="4">
        <f t="shared" si="18"/>
        <v>2.9193835986474567E-2</v>
      </c>
      <c r="I137" s="4">
        <f t="shared" si="18"/>
        <v>3.263970089486834E-2</v>
      </c>
      <c r="J137" s="4">
        <f t="shared" si="18"/>
        <v>3.6085565803262193E-2</v>
      </c>
      <c r="K137" s="4">
        <f t="shared" si="18"/>
        <v>3.263970089486834E-2</v>
      </c>
      <c r="L137" s="4">
        <f t="shared" si="18"/>
        <v>2.9193835986474567E-2</v>
      </c>
      <c r="M137" s="4">
        <f t="shared" si="18"/>
        <v>2.0172444535658994E-2</v>
      </c>
      <c r="N137" s="4">
        <f t="shared" si="18"/>
        <v>1.115105308484347E-2</v>
      </c>
      <c r="O137">
        <f t="shared" si="15"/>
        <v>0</v>
      </c>
    </row>
    <row r="138" spans="3:15" x14ac:dyDescent="0.35">
      <c r="C138">
        <v>127</v>
      </c>
      <c r="D138" s="4">
        <v>618.09375999999997</v>
      </c>
      <c r="E138" s="4">
        <f t="shared" si="14"/>
        <v>0</v>
      </c>
      <c r="F138" s="4">
        <f t="shared" si="18"/>
        <v>1.0086222267829497E-2</v>
      </c>
      <c r="G138" s="4">
        <f t="shared" si="18"/>
        <v>2.0172444535659018E-2</v>
      </c>
      <c r="H138" s="4">
        <f t="shared" si="18"/>
        <v>2.6406072715263667E-2</v>
      </c>
      <c r="I138" s="4">
        <f t="shared" si="18"/>
        <v>3.2639700894868381E-2</v>
      </c>
      <c r="J138" s="4">
        <f t="shared" si="18"/>
        <v>3.263970089486834E-2</v>
      </c>
      <c r="K138" s="4">
        <f t="shared" si="18"/>
        <v>3.2639700894868381E-2</v>
      </c>
      <c r="L138" s="4">
        <f t="shared" si="18"/>
        <v>2.6406072715263667E-2</v>
      </c>
      <c r="M138" s="4">
        <f t="shared" si="18"/>
        <v>2.0172444535659018E-2</v>
      </c>
      <c r="N138" s="4">
        <f t="shared" si="18"/>
        <v>1.0086222267829497E-2</v>
      </c>
      <c r="O138">
        <f t="shared" si="15"/>
        <v>0</v>
      </c>
    </row>
    <row r="139" spans="3:15" x14ac:dyDescent="0.35">
      <c r="C139">
        <v>128</v>
      </c>
      <c r="D139" s="4">
        <v>622.96064000000001</v>
      </c>
      <c r="E139" s="4">
        <f t="shared" si="14"/>
        <v>0</v>
      </c>
      <c r="F139" s="4">
        <f t="shared" si="18"/>
        <v>1.0086222267829509E-2</v>
      </c>
      <c r="G139" s="4">
        <f t="shared" si="18"/>
        <v>1.8246147491546582E-2</v>
      </c>
      <c r="H139" s="4">
        <f t="shared" si="18"/>
        <v>2.6406072715263698E-2</v>
      </c>
      <c r="I139" s="4">
        <f t="shared" si="18"/>
        <v>2.9522886805066005E-2</v>
      </c>
      <c r="J139" s="4">
        <f t="shared" si="18"/>
        <v>3.2639700894868381E-2</v>
      </c>
      <c r="K139" s="4">
        <f t="shared" si="18"/>
        <v>2.9522886805066005E-2</v>
      </c>
      <c r="L139" s="4">
        <f t="shared" si="18"/>
        <v>2.6406072715263698E-2</v>
      </c>
      <c r="M139" s="4">
        <f t="shared" si="18"/>
        <v>1.8246147491546582E-2</v>
      </c>
      <c r="N139" s="4">
        <f t="shared" si="18"/>
        <v>1.0086222267829509E-2</v>
      </c>
      <c r="O139">
        <f t="shared" si="15"/>
        <v>0</v>
      </c>
    </row>
    <row r="140" spans="3:15" x14ac:dyDescent="0.35">
      <c r="C140">
        <v>129</v>
      </c>
      <c r="D140" s="4">
        <v>627.82752000000096</v>
      </c>
      <c r="E140" s="4">
        <f t="shared" si="14"/>
        <v>0</v>
      </c>
      <c r="F140" s="4">
        <f t="shared" si="18"/>
        <v>9.123073745773291E-3</v>
      </c>
      <c r="G140" s="4">
        <f t="shared" si="18"/>
        <v>1.8246147491546603E-2</v>
      </c>
      <c r="H140" s="4">
        <f t="shared" si="18"/>
        <v>2.3884517148306292E-2</v>
      </c>
      <c r="I140" s="4">
        <f t="shared" si="18"/>
        <v>2.952288680506604E-2</v>
      </c>
      <c r="J140" s="4">
        <f t="shared" si="18"/>
        <v>2.9522886805066005E-2</v>
      </c>
      <c r="K140" s="4">
        <f t="shared" si="18"/>
        <v>2.952288680506604E-2</v>
      </c>
      <c r="L140" s="4">
        <f t="shared" si="18"/>
        <v>2.3884517148306292E-2</v>
      </c>
      <c r="M140" s="4">
        <f t="shared" si="18"/>
        <v>1.8246147491546603E-2</v>
      </c>
      <c r="N140" s="4">
        <f t="shared" si="18"/>
        <v>9.123073745773291E-3</v>
      </c>
      <c r="O140">
        <f t="shared" si="15"/>
        <v>0</v>
      </c>
    </row>
    <row r="141" spans="3:15" x14ac:dyDescent="0.35">
      <c r="C141">
        <v>130</v>
      </c>
      <c r="D141" s="4">
        <v>632.694400000001</v>
      </c>
      <c r="E141" s="4">
        <f t="shared" si="14"/>
        <v>0</v>
      </c>
      <c r="F141" s="4">
        <f t="shared" si="18"/>
        <v>9.1230737457733014E-3</v>
      </c>
      <c r="G141" s="4">
        <f t="shared" si="18"/>
        <v>1.6503795447039792E-2</v>
      </c>
      <c r="H141" s="4">
        <f t="shared" si="18"/>
        <v>2.388451714830632E-2</v>
      </c>
      <c r="I141" s="4">
        <f t="shared" si="18"/>
        <v>2.6703701976686148E-2</v>
      </c>
      <c r="J141" s="4">
        <f t="shared" si="18"/>
        <v>2.952288680506604E-2</v>
      </c>
      <c r="K141" s="4">
        <f t="shared" si="18"/>
        <v>2.6703701976686148E-2</v>
      </c>
      <c r="L141" s="4">
        <f t="shared" si="18"/>
        <v>2.388451714830632E-2</v>
      </c>
      <c r="M141" s="4">
        <f t="shared" si="18"/>
        <v>1.6503795447039792E-2</v>
      </c>
      <c r="N141" s="4">
        <f t="shared" si="18"/>
        <v>9.1230737457733014E-3</v>
      </c>
      <c r="O141">
        <f t="shared" si="15"/>
        <v>0</v>
      </c>
    </row>
    <row r="142" spans="3:15" x14ac:dyDescent="0.35">
      <c r="C142">
        <v>131</v>
      </c>
      <c r="D142" s="4">
        <v>637.56128000000103</v>
      </c>
      <c r="E142" s="4">
        <f t="shared" si="14"/>
        <v>0</v>
      </c>
      <c r="F142" s="4">
        <f t="shared" si="18"/>
        <v>8.2518977235198961E-3</v>
      </c>
      <c r="G142" s="4">
        <f t="shared" si="18"/>
        <v>1.650379544703981E-2</v>
      </c>
      <c r="H142" s="4">
        <f t="shared" si="18"/>
        <v>2.160374871186297E-2</v>
      </c>
      <c r="I142" s="4">
        <f t="shared" si="18"/>
        <v>2.670370197668618E-2</v>
      </c>
      <c r="J142" s="4">
        <f t="shared" si="18"/>
        <v>2.6703701976686148E-2</v>
      </c>
      <c r="K142" s="4">
        <f t="shared" si="18"/>
        <v>2.670370197668618E-2</v>
      </c>
      <c r="L142" s="4">
        <f t="shared" si="18"/>
        <v>2.160374871186297E-2</v>
      </c>
      <c r="M142" s="4">
        <f t="shared" si="18"/>
        <v>1.650379544703981E-2</v>
      </c>
      <c r="N142" s="4">
        <f t="shared" si="18"/>
        <v>8.2518977235198961E-3</v>
      </c>
      <c r="O142">
        <f t="shared" si="15"/>
        <v>0</v>
      </c>
    </row>
    <row r="143" spans="3:15" x14ac:dyDescent="0.35">
      <c r="C143">
        <v>132</v>
      </c>
      <c r="D143" s="4">
        <v>642.42816000000096</v>
      </c>
      <c r="E143" s="4">
        <f t="shared" si="14"/>
        <v>0</v>
      </c>
      <c r="F143" s="4">
        <f t="shared" si="18"/>
        <v>8.2518977235199048E-3</v>
      </c>
      <c r="G143" s="4">
        <f t="shared" si="18"/>
        <v>1.4927823217691434E-2</v>
      </c>
      <c r="H143" s="4">
        <f t="shared" si="18"/>
        <v>2.1603748711862995E-2</v>
      </c>
      <c r="I143" s="4">
        <f t="shared" si="18"/>
        <v>2.4153725344274561E-2</v>
      </c>
      <c r="J143" s="4">
        <f t="shared" si="18"/>
        <v>2.670370197668618E-2</v>
      </c>
      <c r="K143" s="4">
        <f t="shared" si="18"/>
        <v>2.4153725344274561E-2</v>
      </c>
      <c r="L143" s="4">
        <f t="shared" si="18"/>
        <v>2.1603748711862995E-2</v>
      </c>
      <c r="M143" s="4">
        <f t="shared" si="18"/>
        <v>1.4927823217691434E-2</v>
      </c>
      <c r="N143" s="4">
        <f t="shared" si="18"/>
        <v>8.2518977235199048E-3</v>
      </c>
      <c r="O143">
        <f t="shared" si="15"/>
        <v>0</v>
      </c>
    </row>
    <row r="144" spans="3:15" x14ac:dyDescent="0.35">
      <c r="C144">
        <v>133</v>
      </c>
      <c r="D144" s="4">
        <v>647.29504000000099</v>
      </c>
      <c r="E144" s="4">
        <f t="shared" si="14"/>
        <v>0</v>
      </c>
      <c r="F144" s="4">
        <f t="shared" si="18"/>
        <v>7.4639116088457171E-3</v>
      </c>
      <c r="G144" s="4">
        <f t="shared" si="18"/>
        <v>1.492782321769145E-2</v>
      </c>
      <c r="H144" s="4">
        <f t="shared" si="18"/>
        <v>1.9540774280982998E-2</v>
      </c>
      <c r="I144" s="4">
        <f t="shared" si="18"/>
        <v>2.4153725344274589E-2</v>
      </c>
      <c r="J144" s="4">
        <f t="shared" si="18"/>
        <v>2.4153725344274561E-2</v>
      </c>
      <c r="K144" s="4">
        <f t="shared" si="18"/>
        <v>2.4153725344274589E-2</v>
      </c>
      <c r="L144" s="4">
        <f t="shared" si="18"/>
        <v>1.9540774280982998E-2</v>
      </c>
      <c r="M144" s="4">
        <f t="shared" si="18"/>
        <v>1.492782321769145E-2</v>
      </c>
      <c r="N144" s="4">
        <f t="shared" si="18"/>
        <v>7.4639116088457171E-3</v>
      </c>
      <c r="O144">
        <f t="shared" si="15"/>
        <v>0</v>
      </c>
    </row>
    <row r="145" spans="3:15" x14ac:dyDescent="0.35">
      <c r="C145">
        <v>134</v>
      </c>
      <c r="D145" s="4">
        <v>652.16192000000103</v>
      </c>
      <c r="E145" s="4">
        <f t="shared" si="14"/>
        <v>0</v>
      </c>
      <c r="F145" s="4">
        <f t="shared" si="18"/>
        <v>7.4639116088457249E-3</v>
      </c>
      <c r="G145" s="4">
        <f t="shared" si="18"/>
        <v>1.3502342944914357E-2</v>
      </c>
      <c r="H145" s="4">
        <f t="shared" si="18"/>
        <v>1.9540774280983018E-2</v>
      </c>
      <c r="I145" s="4">
        <f t="shared" si="18"/>
        <v>2.1847249812628779E-2</v>
      </c>
      <c r="J145" s="4">
        <f t="shared" si="18"/>
        <v>2.4153725344274589E-2</v>
      </c>
      <c r="K145" s="4">
        <f t="shared" si="18"/>
        <v>2.1847249812628779E-2</v>
      </c>
      <c r="L145" s="4">
        <f t="shared" si="18"/>
        <v>1.9540774280983018E-2</v>
      </c>
      <c r="M145" s="4">
        <f t="shared" si="18"/>
        <v>1.3502342944914357E-2</v>
      </c>
      <c r="N145" s="4">
        <f t="shared" si="18"/>
        <v>7.4639116088457249E-3</v>
      </c>
      <c r="O145">
        <f t="shared" si="15"/>
        <v>0</v>
      </c>
    </row>
    <row r="146" spans="3:15" x14ac:dyDescent="0.35">
      <c r="C146">
        <v>135</v>
      </c>
      <c r="D146" s="4">
        <v>657.02880000000096</v>
      </c>
      <c r="E146" s="4">
        <f t="shared" si="14"/>
        <v>0</v>
      </c>
      <c r="F146" s="4">
        <f t="shared" si="18"/>
        <v>6.7511714724571787E-3</v>
      </c>
      <c r="G146" s="4">
        <f t="shared" si="18"/>
        <v>1.3502342944914371E-2</v>
      </c>
      <c r="H146" s="4">
        <f t="shared" si="18"/>
        <v>1.7674796378771569E-2</v>
      </c>
      <c r="I146" s="4">
        <f t="shared" si="18"/>
        <v>2.1847249812628804E-2</v>
      </c>
      <c r="J146" s="4">
        <f t="shared" si="18"/>
        <v>2.1847249812628779E-2</v>
      </c>
      <c r="K146" s="4">
        <f t="shared" si="18"/>
        <v>2.1847249812628804E-2</v>
      </c>
      <c r="L146" s="4">
        <f t="shared" si="18"/>
        <v>1.7674796378771569E-2</v>
      </c>
      <c r="M146" s="4">
        <f t="shared" si="18"/>
        <v>1.3502342944914371E-2</v>
      </c>
      <c r="N146" s="4">
        <f t="shared" si="18"/>
        <v>6.7511714724571787E-3</v>
      </c>
      <c r="O146">
        <f t="shared" si="15"/>
        <v>0</v>
      </c>
    </row>
    <row r="147" spans="3:15" x14ac:dyDescent="0.35">
      <c r="C147">
        <v>136</v>
      </c>
      <c r="D147" s="4">
        <v>661.89568000000099</v>
      </c>
      <c r="E147" s="4">
        <f t="shared" si="14"/>
        <v>0</v>
      </c>
      <c r="F147" s="4">
        <f t="shared" si="18"/>
        <v>6.7511714724571856E-3</v>
      </c>
      <c r="G147" s="4">
        <f t="shared" si="18"/>
        <v>1.2212983925614374E-2</v>
      </c>
      <c r="H147" s="4">
        <f t="shared" si="18"/>
        <v>1.7674796378771587E-2</v>
      </c>
      <c r="I147" s="4">
        <f t="shared" si="18"/>
        <v>1.9761023095700173E-2</v>
      </c>
      <c r="J147" s="4">
        <f t="shared" si="18"/>
        <v>2.1847249812628804E-2</v>
      </c>
      <c r="K147" s="4">
        <f t="shared" si="18"/>
        <v>1.9761023095700173E-2</v>
      </c>
      <c r="L147" s="4">
        <f t="shared" si="18"/>
        <v>1.7674796378771587E-2</v>
      </c>
      <c r="M147" s="4">
        <f t="shared" si="18"/>
        <v>1.2212983925614374E-2</v>
      </c>
      <c r="N147" s="4">
        <f t="shared" si="18"/>
        <v>6.7511714724571856E-3</v>
      </c>
      <c r="O147">
        <f t="shared" si="15"/>
        <v>0</v>
      </c>
    </row>
    <row r="148" spans="3:15" x14ac:dyDescent="0.35">
      <c r="C148">
        <v>137</v>
      </c>
      <c r="D148" s="4">
        <v>666.76256000000103</v>
      </c>
      <c r="E148" s="4">
        <f t="shared" si="14"/>
        <v>0</v>
      </c>
      <c r="F148" s="4">
        <f t="shared" si="18"/>
        <v>6.1064919628071868E-3</v>
      </c>
      <c r="G148" s="4">
        <f t="shared" si="18"/>
        <v>1.2212983925614386E-2</v>
      </c>
      <c r="H148" s="4">
        <f t="shared" si="18"/>
        <v>1.5987003510657273E-2</v>
      </c>
      <c r="I148" s="4">
        <f t="shared" si="18"/>
        <v>1.9761023095700193E-2</v>
      </c>
      <c r="J148" s="4">
        <f t="shared" si="18"/>
        <v>1.9761023095700173E-2</v>
      </c>
      <c r="K148" s="4">
        <f t="shared" si="18"/>
        <v>1.9761023095700193E-2</v>
      </c>
      <c r="L148" s="4">
        <f t="shared" si="18"/>
        <v>1.5987003510657273E-2</v>
      </c>
      <c r="M148" s="4">
        <f t="shared" si="18"/>
        <v>1.2212983925614386E-2</v>
      </c>
      <c r="N148" s="4">
        <f t="shared" si="18"/>
        <v>6.1064919628071868E-3</v>
      </c>
      <c r="O148">
        <f t="shared" si="15"/>
        <v>0</v>
      </c>
    </row>
    <row r="149" spans="3:15" x14ac:dyDescent="0.35">
      <c r="C149">
        <v>138</v>
      </c>
      <c r="D149" s="4">
        <v>671.62944000000095</v>
      </c>
      <c r="E149" s="4">
        <f t="shared" si="14"/>
        <v>0</v>
      </c>
      <c r="F149" s="4">
        <f t="shared" si="18"/>
        <v>6.1064919628071928E-3</v>
      </c>
      <c r="G149" s="4">
        <f t="shared" si="18"/>
        <v>1.104674773673223E-2</v>
      </c>
      <c r="H149" s="4">
        <f t="shared" si="18"/>
        <v>1.598700351065729E-2</v>
      </c>
      <c r="I149" s="4">
        <f t="shared" si="18"/>
        <v>1.7874013303178723E-2</v>
      </c>
      <c r="J149" s="4">
        <f t="shared" si="18"/>
        <v>1.9761023095700193E-2</v>
      </c>
      <c r="K149" s="4">
        <f t="shared" si="18"/>
        <v>1.7874013303178723E-2</v>
      </c>
      <c r="L149" s="4">
        <f t="shared" si="18"/>
        <v>1.598700351065729E-2</v>
      </c>
      <c r="M149" s="4">
        <f t="shared" si="18"/>
        <v>1.104674773673223E-2</v>
      </c>
      <c r="N149" s="4">
        <f t="shared" si="18"/>
        <v>6.1064919628071928E-3</v>
      </c>
      <c r="O149">
        <f t="shared" si="15"/>
        <v>0</v>
      </c>
    </row>
    <row r="150" spans="3:15" x14ac:dyDescent="0.35">
      <c r="C150">
        <v>139</v>
      </c>
      <c r="D150" s="4">
        <v>676.49632000000099</v>
      </c>
      <c r="E150" s="4">
        <f t="shared" si="14"/>
        <v>0</v>
      </c>
      <c r="F150" s="4">
        <f t="shared" si="18"/>
        <v>5.5233738683661149E-3</v>
      </c>
      <c r="G150" s="4">
        <f t="shared" si="18"/>
        <v>1.1046747736732242E-2</v>
      </c>
      <c r="H150" s="4">
        <f t="shared" si="18"/>
        <v>1.4460380519955476E-2</v>
      </c>
      <c r="I150" s="4">
        <f t="shared" si="18"/>
        <v>1.787401330317874E-2</v>
      </c>
      <c r="J150" s="4">
        <f t="shared" si="18"/>
        <v>1.7874013303178723E-2</v>
      </c>
      <c r="K150" s="4">
        <f t="shared" si="18"/>
        <v>1.787401330317874E-2</v>
      </c>
      <c r="L150" s="4">
        <f t="shared" si="18"/>
        <v>1.4460380519955476E-2</v>
      </c>
      <c r="M150" s="4">
        <f t="shared" si="18"/>
        <v>1.1046747736732242E-2</v>
      </c>
      <c r="N150" s="4">
        <f t="shared" si="18"/>
        <v>5.5233738683661149E-3</v>
      </c>
      <c r="O150">
        <f t="shared" si="15"/>
        <v>0</v>
      </c>
    </row>
    <row r="151" spans="3:15" x14ac:dyDescent="0.35">
      <c r="C151">
        <v>140</v>
      </c>
      <c r="D151" s="4">
        <v>681.36320000000103</v>
      </c>
      <c r="E151" s="4">
        <f t="shared" si="14"/>
        <v>0</v>
      </c>
      <c r="F151" s="4">
        <f t="shared" si="18"/>
        <v>5.523373868366121E-3</v>
      </c>
      <c r="G151" s="4">
        <f t="shared" si="18"/>
        <v>9.9918771941607948E-3</v>
      </c>
      <c r="H151" s="4">
        <f t="shared" si="18"/>
        <v>1.446038051995549E-2</v>
      </c>
      <c r="I151" s="4">
        <f t="shared" si="18"/>
        <v>1.6167196911567101E-2</v>
      </c>
      <c r="J151" s="4">
        <f t="shared" si="18"/>
        <v>1.787401330317874E-2</v>
      </c>
      <c r="K151" s="4">
        <f t="shared" si="18"/>
        <v>1.6167196911567101E-2</v>
      </c>
      <c r="L151" s="4">
        <f t="shared" si="18"/>
        <v>1.446038051995549E-2</v>
      </c>
      <c r="M151" s="4">
        <f t="shared" si="18"/>
        <v>9.9918771941607948E-3</v>
      </c>
      <c r="N151" s="4">
        <f t="shared" si="18"/>
        <v>5.523373868366121E-3</v>
      </c>
      <c r="O151">
        <f t="shared" si="15"/>
        <v>0</v>
      </c>
    </row>
    <row r="152" spans="3:15" x14ac:dyDescent="0.35">
      <c r="C152">
        <v>141</v>
      </c>
      <c r="D152" s="4">
        <v>686.23008000000095</v>
      </c>
      <c r="E152" s="4">
        <f t="shared" si="14"/>
        <v>0</v>
      </c>
      <c r="F152" s="4">
        <f t="shared" si="18"/>
        <v>4.9959385970803974E-3</v>
      </c>
      <c r="G152" s="4">
        <f t="shared" si="18"/>
        <v>9.9918771941608052E-3</v>
      </c>
      <c r="H152" s="4">
        <f t="shared" si="18"/>
        <v>1.3079537052863948E-2</v>
      </c>
      <c r="I152" s="4">
        <f t="shared" si="18"/>
        <v>1.6167196911567115E-2</v>
      </c>
      <c r="J152" s="4">
        <f t="shared" si="18"/>
        <v>1.6167196911567101E-2</v>
      </c>
      <c r="K152" s="4">
        <f t="shared" si="18"/>
        <v>1.6167196911567115E-2</v>
      </c>
      <c r="L152" s="4">
        <f t="shared" si="18"/>
        <v>1.3079537052863948E-2</v>
      </c>
      <c r="M152" s="4">
        <f t="shared" si="18"/>
        <v>9.9918771941608052E-3</v>
      </c>
      <c r="N152" s="4">
        <f t="shared" si="18"/>
        <v>4.9959385970803974E-3</v>
      </c>
      <c r="O152">
        <f t="shared" si="15"/>
        <v>0</v>
      </c>
    </row>
    <row r="153" spans="3:15" x14ac:dyDescent="0.35">
      <c r="C153">
        <v>142</v>
      </c>
      <c r="D153" s="4">
        <v>691.09696000000099</v>
      </c>
      <c r="E153" s="4">
        <f t="shared" si="14"/>
        <v>0</v>
      </c>
      <c r="F153" s="4">
        <f t="shared" si="18"/>
        <v>4.9959385970804026E-3</v>
      </c>
      <c r="G153" s="4">
        <f t="shared" si="18"/>
        <v>9.0377378249721727E-3</v>
      </c>
      <c r="H153" s="4">
        <f t="shared" si="18"/>
        <v>1.307953705286396E-2</v>
      </c>
      <c r="I153" s="4">
        <f t="shared" si="18"/>
        <v>1.4623366982215525E-2</v>
      </c>
      <c r="J153" s="4">
        <f t="shared" si="18"/>
        <v>1.6167196911567115E-2</v>
      </c>
      <c r="K153" s="4">
        <f t="shared" si="18"/>
        <v>1.4623366982215525E-2</v>
      </c>
      <c r="L153" s="4">
        <f t="shared" si="18"/>
        <v>1.307953705286396E-2</v>
      </c>
      <c r="M153" s="4">
        <f t="shared" si="18"/>
        <v>9.0377378249721727E-3</v>
      </c>
      <c r="N153" s="4">
        <f t="shared" si="18"/>
        <v>4.9959385970804026E-3</v>
      </c>
      <c r="O153">
        <f t="shared" si="15"/>
        <v>0</v>
      </c>
    </row>
    <row r="154" spans="3:15" x14ac:dyDescent="0.35">
      <c r="C154">
        <v>143</v>
      </c>
      <c r="D154" s="4">
        <v>695.96384000000103</v>
      </c>
      <c r="E154" s="4">
        <f t="shared" si="14"/>
        <v>0</v>
      </c>
      <c r="F154" s="4">
        <f t="shared" si="18"/>
        <v>4.5188689124860864E-3</v>
      </c>
      <c r="G154" s="4">
        <f t="shared" si="18"/>
        <v>9.0377378249721814E-3</v>
      </c>
      <c r="H154" s="4">
        <f t="shared" si="18"/>
        <v>1.1830552403593849E-2</v>
      </c>
      <c r="I154" s="4">
        <f t="shared" si="18"/>
        <v>1.4623366982215537E-2</v>
      </c>
      <c r="J154" s="4">
        <f t="shared" si="18"/>
        <v>1.4623366982215525E-2</v>
      </c>
      <c r="K154" s="4">
        <f t="shared" si="18"/>
        <v>1.4623366982215537E-2</v>
      </c>
      <c r="L154" s="4">
        <f t="shared" si="18"/>
        <v>1.1830552403593849E-2</v>
      </c>
      <c r="M154" s="4">
        <f t="shared" si="18"/>
        <v>9.0377378249721814E-3</v>
      </c>
      <c r="N154" s="4">
        <f t="shared" si="18"/>
        <v>4.5188689124860864E-3</v>
      </c>
      <c r="O154">
        <f t="shared" si="15"/>
        <v>0</v>
      </c>
    </row>
    <row r="155" spans="3:15" x14ac:dyDescent="0.35">
      <c r="C155">
        <v>144</v>
      </c>
      <c r="D155" s="4">
        <v>700.83072000000095</v>
      </c>
      <c r="E155" s="4">
        <f t="shared" si="14"/>
        <v>0</v>
      </c>
      <c r="F155" s="4">
        <f t="shared" si="18"/>
        <v>4.5188689124860907E-3</v>
      </c>
      <c r="G155" s="4">
        <f t="shared" si="18"/>
        <v>8.174710658039968E-3</v>
      </c>
      <c r="H155" s="4">
        <f t="shared" si="18"/>
        <v>1.1830552403593859E-2</v>
      </c>
      <c r="I155" s="4">
        <f t="shared" si="18"/>
        <v>1.3226959692904687E-2</v>
      </c>
      <c r="J155" s="4">
        <f t="shared" si="18"/>
        <v>1.4623366982215537E-2</v>
      </c>
      <c r="K155" s="4">
        <f t="shared" si="18"/>
        <v>1.3226959692904687E-2</v>
      </c>
      <c r="L155" s="4">
        <f t="shared" si="18"/>
        <v>1.1830552403593859E-2</v>
      </c>
      <c r="M155" s="4">
        <f t="shared" si="18"/>
        <v>8.174710658039968E-3</v>
      </c>
      <c r="N155" s="4">
        <f t="shared" si="18"/>
        <v>4.5188689124860907E-3</v>
      </c>
      <c r="O155">
        <f t="shared" si="15"/>
        <v>0</v>
      </c>
    </row>
    <row r="156" spans="3:15" x14ac:dyDescent="0.35">
      <c r="C156">
        <v>145</v>
      </c>
      <c r="D156" s="4">
        <v>705.69760000000099</v>
      </c>
      <c r="E156" s="4">
        <f t="shared" si="14"/>
        <v>0</v>
      </c>
      <c r="F156" s="4">
        <f t="shared" si="18"/>
        <v>4.087355329019984E-3</v>
      </c>
      <c r="G156" s="4">
        <f t="shared" si="18"/>
        <v>8.1747106580399749E-3</v>
      </c>
      <c r="H156" s="4">
        <f t="shared" si="18"/>
        <v>1.0700835175472326E-2</v>
      </c>
      <c r="I156" s="4">
        <f t="shared" si="18"/>
        <v>1.3226959692904699E-2</v>
      </c>
      <c r="J156" s="4">
        <f t="shared" si="18"/>
        <v>1.3226959692904687E-2</v>
      </c>
      <c r="K156" s="4">
        <f t="shared" si="18"/>
        <v>1.3226959692904699E-2</v>
      </c>
      <c r="L156" s="4">
        <f t="shared" si="18"/>
        <v>1.0700835175472326E-2</v>
      </c>
      <c r="M156" s="4">
        <f t="shared" si="18"/>
        <v>8.1747106580399749E-3</v>
      </c>
      <c r="N156" s="4">
        <f t="shared" si="18"/>
        <v>4.087355329019984E-3</v>
      </c>
      <c r="O156">
        <f t="shared" si="15"/>
        <v>0</v>
      </c>
    </row>
    <row r="157" spans="3:15" x14ac:dyDescent="0.35">
      <c r="C157">
        <v>146</v>
      </c>
      <c r="D157" s="4">
        <v>710.56448000000103</v>
      </c>
      <c r="E157" s="4">
        <f t="shared" si="14"/>
        <v>0</v>
      </c>
      <c r="F157" s="4">
        <f t="shared" si="18"/>
        <v>4.0873553290199875E-3</v>
      </c>
      <c r="G157" s="4">
        <f t="shared" si="18"/>
        <v>7.3940952522461552E-3</v>
      </c>
      <c r="H157" s="4">
        <f t="shared" si="18"/>
        <v>1.0700835175472337E-2</v>
      </c>
      <c r="I157" s="4">
        <f t="shared" si="18"/>
        <v>1.1963897434188506E-2</v>
      </c>
      <c r="J157" s="4">
        <f t="shared" si="18"/>
        <v>1.3226959692904699E-2</v>
      </c>
      <c r="K157" s="4">
        <f t="shared" si="18"/>
        <v>1.1963897434188506E-2</v>
      </c>
      <c r="L157" s="4">
        <f t="shared" si="18"/>
        <v>1.0700835175472337E-2</v>
      </c>
      <c r="M157" s="4">
        <f t="shared" si="18"/>
        <v>7.3940952522461552E-3</v>
      </c>
      <c r="N157" s="4">
        <f t="shared" si="18"/>
        <v>4.0873553290199875E-3</v>
      </c>
      <c r="O157">
        <f t="shared" si="15"/>
        <v>0</v>
      </c>
    </row>
    <row r="158" spans="3:15" x14ac:dyDescent="0.35">
      <c r="C158">
        <v>147</v>
      </c>
      <c r="D158" s="4">
        <v>715.43136000000095</v>
      </c>
      <c r="E158" s="4">
        <f t="shared" si="14"/>
        <v>0</v>
      </c>
      <c r="F158" s="4">
        <f t="shared" si="18"/>
        <v>3.6970476261230776E-3</v>
      </c>
      <c r="G158" s="4">
        <f t="shared" si="18"/>
        <v>7.3940952522461622E-3</v>
      </c>
      <c r="H158" s="4">
        <f t="shared" si="18"/>
        <v>9.67899634321733E-3</v>
      </c>
      <c r="I158" s="4">
        <f t="shared" si="18"/>
        <v>1.1963897434188518E-2</v>
      </c>
      <c r="J158" s="4">
        <f t="shared" si="18"/>
        <v>1.1963897434188506E-2</v>
      </c>
      <c r="K158" s="4">
        <f t="shared" si="18"/>
        <v>1.1963897434188518E-2</v>
      </c>
      <c r="L158" s="4">
        <f t="shared" si="18"/>
        <v>9.67899634321733E-3</v>
      </c>
      <c r="M158" s="4">
        <f t="shared" si="18"/>
        <v>7.3940952522461622E-3</v>
      </c>
      <c r="N158" s="4">
        <f t="shared" si="18"/>
        <v>3.6970476261230776E-3</v>
      </c>
      <c r="O158">
        <f t="shared" si="15"/>
        <v>0</v>
      </c>
    </row>
    <row r="159" spans="3:15" x14ac:dyDescent="0.35">
      <c r="C159">
        <v>148</v>
      </c>
      <c r="D159" s="4">
        <v>720.29824000000099</v>
      </c>
      <c r="E159" s="4">
        <f t="shared" si="14"/>
        <v>0</v>
      </c>
      <c r="F159" s="4">
        <f t="shared" si="18"/>
        <v>3.6970476261230811E-3</v>
      </c>
      <c r="G159" s="4">
        <f t="shared" si="18"/>
        <v>6.6880219846702036E-3</v>
      </c>
      <c r="H159" s="4">
        <f t="shared" si="18"/>
        <v>9.6789963432173404E-3</v>
      </c>
      <c r="I159" s="4">
        <f t="shared" si="18"/>
        <v>1.0821446888702919E-2</v>
      </c>
      <c r="J159" s="4">
        <f t="shared" si="18"/>
        <v>1.1963897434188518E-2</v>
      </c>
      <c r="K159" s="4">
        <f t="shared" si="18"/>
        <v>1.0821446888702919E-2</v>
      </c>
      <c r="L159" s="4">
        <f t="shared" si="18"/>
        <v>9.6789963432173404E-3</v>
      </c>
      <c r="M159" s="4">
        <f t="shared" si="18"/>
        <v>6.6880219846702036E-3</v>
      </c>
      <c r="N159" s="4">
        <f t="shared" si="18"/>
        <v>3.6970476261230811E-3</v>
      </c>
      <c r="O159">
        <f t="shared" si="15"/>
        <v>0</v>
      </c>
    </row>
    <row r="160" spans="3:15" x14ac:dyDescent="0.35">
      <c r="C160">
        <v>149</v>
      </c>
      <c r="D160" s="4">
        <v>725.16512000000102</v>
      </c>
      <c r="E160" s="4">
        <f t="shared" si="14"/>
        <v>0</v>
      </c>
      <c r="F160" s="4">
        <f t="shared" si="18"/>
        <v>3.3440109923351018E-3</v>
      </c>
      <c r="G160" s="4">
        <f t="shared" si="18"/>
        <v>6.6880219846702105E-3</v>
      </c>
      <c r="H160" s="4">
        <f t="shared" si="18"/>
        <v>8.754734436686562E-3</v>
      </c>
      <c r="I160" s="4">
        <f t="shared" si="18"/>
        <v>1.0821446888702929E-2</v>
      </c>
      <c r="J160" s="4">
        <f t="shared" si="18"/>
        <v>1.0821446888702919E-2</v>
      </c>
      <c r="K160" s="4">
        <f t="shared" si="18"/>
        <v>1.0821446888702929E-2</v>
      </c>
      <c r="L160" s="4">
        <f t="shared" si="18"/>
        <v>8.754734436686562E-3</v>
      </c>
      <c r="M160" s="4">
        <f t="shared" si="18"/>
        <v>6.6880219846702105E-3</v>
      </c>
      <c r="N160" s="4">
        <f t="shared" si="18"/>
        <v>3.3440109923351018E-3</v>
      </c>
      <c r="O160">
        <f t="shared" si="15"/>
        <v>0</v>
      </c>
    </row>
    <row r="161" spans="3:15" x14ac:dyDescent="0.35">
      <c r="C161">
        <v>150</v>
      </c>
      <c r="D161" s="4">
        <v>730.03200000000095</v>
      </c>
      <c r="E161" s="4">
        <f t="shared" si="14"/>
        <v>0</v>
      </c>
      <c r="F161" s="4">
        <f t="shared" si="18"/>
        <v>3.3440109923351053E-3</v>
      </c>
      <c r="G161" s="4">
        <f t="shared" si="18"/>
        <v>6.0493727145108315E-3</v>
      </c>
      <c r="H161" s="4">
        <f t="shared" si="18"/>
        <v>8.754734436686569E-3</v>
      </c>
      <c r="I161" s="4">
        <f t="shared" si="18"/>
        <v>9.7880906626947404E-3</v>
      </c>
      <c r="J161" s="4">
        <f t="shared" si="18"/>
        <v>1.0821446888702929E-2</v>
      </c>
      <c r="K161" s="4">
        <f t="shared" si="18"/>
        <v>9.7880906626947404E-3</v>
      </c>
      <c r="L161" s="4">
        <f t="shared" si="18"/>
        <v>8.754734436686569E-3</v>
      </c>
      <c r="M161" s="4">
        <f t="shared" si="18"/>
        <v>6.0493727145108315E-3</v>
      </c>
      <c r="N161" s="4">
        <f t="shared" si="18"/>
        <v>3.3440109923351053E-3</v>
      </c>
      <c r="O161">
        <f t="shared" si="15"/>
        <v>0</v>
      </c>
    </row>
    <row r="162" spans="3:15" x14ac:dyDescent="0.35">
      <c r="C162">
        <v>151</v>
      </c>
      <c r="D162" s="4">
        <v>734.89888000000099</v>
      </c>
      <c r="E162" s="4">
        <f t="shared" si="14"/>
        <v>0</v>
      </c>
      <c r="F162" s="4">
        <f t="shared" si="18"/>
        <v>3.0246863572554157E-3</v>
      </c>
      <c r="G162" s="4">
        <f t="shared" si="18"/>
        <v>6.0493727145108367E-3</v>
      </c>
      <c r="H162" s="4">
        <f t="shared" si="18"/>
        <v>7.9187316886027859E-3</v>
      </c>
      <c r="I162" s="4">
        <f t="shared" si="18"/>
        <v>9.7880906626947491E-3</v>
      </c>
      <c r="J162" s="4">
        <f t="shared" si="18"/>
        <v>9.7880906626947404E-3</v>
      </c>
      <c r="K162" s="4">
        <f t="shared" si="18"/>
        <v>9.7880906626947491E-3</v>
      </c>
      <c r="L162" s="4">
        <f t="shared" si="18"/>
        <v>7.9187316886027859E-3</v>
      </c>
      <c r="M162" s="4">
        <f t="shared" si="18"/>
        <v>6.0493727145108367E-3</v>
      </c>
      <c r="N162" s="4">
        <f t="shared" si="18"/>
        <v>3.0246863572554157E-3</v>
      </c>
      <c r="O162">
        <f t="shared" si="15"/>
        <v>0</v>
      </c>
    </row>
    <row r="163" spans="3:15" x14ac:dyDescent="0.35">
      <c r="C163">
        <v>152</v>
      </c>
      <c r="D163" s="4">
        <v>739.76576000000102</v>
      </c>
      <c r="E163" s="4">
        <f t="shared" si="14"/>
        <v>0</v>
      </c>
      <c r="F163" s="4">
        <f t="shared" si="18"/>
        <v>3.0246863572554183E-3</v>
      </c>
      <c r="G163" s="4">
        <f t="shared" si="18"/>
        <v>5.4717090229291013E-3</v>
      </c>
      <c r="H163" s="4">
        <f t="shared" si="18"/>
        <v>7.9187316886027929E-3</v>
      </c>
      <c r="I163" s="4">
        <f t="shared" si="18"/>
        <v>8.8534111756487632E-3</v>
      </c>
      <c r="J163" s="4">
        <f t="shared" si="18"/>
        <v>9.7880906626947491E-3</v>
      </c>
      <c r="K163" s="4">
        <f t="shared" si="18"/>
        <v>8.8534111756487632E-3</v>
      </c>
      <c r="L163" s="4">
        <f t="shared" si="18"/>
        <v>7.9187316886027929E-3</v>
      </c>
      <c r="M163" s="4">
        <f t="shared" si="18"/>
        <v>5.4717090229291013E-3</v>
      </c>
      <c r="N163" s="4">
        <f t="shared" si="18"/>
        <v>3.0246863572554183E-3</v>
      </c>
      <c r="O163">
        <f t="shared" si="15"/>
        <v>0</v>
      </c>
    </row>
    <row r="164" spans="3:15" x14ac:dyDescent="0.35">
      <c r="C164">
        <v>153</v>
      </c>
      <c r="D164" s="4">
        <v>744.63264000000095</v>
      </c>
      <c r="E164" s="4">
        <f t="shared" si="14"/>
        <v>0</v>
      </c>
      <c r="F164" s="4">
        <f t="shared" si="18"/>
        <v>2.7358545114645506E-3</v>
      </c>
      <c r="G164" s="4">
        <f t="shared" si="18"/>
        <v>5.4717090229291056E-3</v>
      </c>
      <c r="H164" s="4">
        <f t="shared" si="18"/>
        <v>7.1625600992889322E-3</v>
      </c>
      <c r="I164" s="4">
        <f t="shared" ref="G164:N196" si="19">(H163+J163)/2</f>
        <v>8.8534111756487718E-3</v>
      </c>
      <c r="J164" s="4">
        <f t="shared" si="19"/>
        <v>8.8534111756487632E-3</v>
      </c>
      <c r="K164" s="4">
        <f t="shared" si="19"/>
        <v>8.8534111756487718E-3</v>
      </c>
      <c r="L164" s="4">
        <f t="shared" si="19"/>
        <v>7.1625600992889322E-3</v>
      </c>
      <c r="M164" s="4">
        <f t="shared" si="19"/>
        <v>5.4717090229291056E-3</v>
      </c>
      <c r="N164" s="4">
        <f t="shared" si="19"/>
        <v>2.7358545114645506E-3</v>
      </c>
      <c r="O164">
        <f t="shared" si="15"/>
        <v>0</v>
      </c>
    </row>
    <row r="165" spans="3:15" x14ac:dyDescent="0.35">
      <c r="C165">
        <v>154</v>
      </c>
      <c r="D165" s="4">
        <v>749.49952000000098</v>
      </c>
      <c r="E165" s="4">
        <f t="shared" si="14"/>
        <v>0</v>
      </c>
      <c r="F165" s="4">
        <f t="shared" ref="F165:N228" si="20">(E164+G164)/2</f>
        <v>2.7358545114645528E-3</v>
      </c>
      <c r="G165" s="4">
        <f t="shared" si="19"/>
        <v>4.9492073053767419E-3</v>
      </c>
      <c r="H165" s="4">
        <f t="shared" si="19"/>
        <v>7.1625600992889383E-3</v>
      </c>
      <c r="I165" s="4">
        <f t="shared" si="19"/>
        <v>8.0079856374688473E-3</v>
      </c>
      <c r="J165" s="4">
        <f t="shared" si="19"/>
        <v>8.8534111756487718E-3</v>
      </c>
      <c r="K165" s="4">
        <f t="shared" si="19"/>
        <v>8.0079856374688473E-3</v>
      </c>
      <c r="L165" s="4">
        <f t="shared" si="19"/>
        <v>7.1625600992889383E-3</v>
      </c>
      <c r="M165" s="4">
        <f t="shared" si="19"/>
        <v>4.9492073053767419E-3</v>
      </c>
      <c r="N165" s="4">
        <f t="shared" si="19"/>
        <v>2.7358545114645528E-3</v>
      </c>
      <c r="O165">
        <f t="shared" si="15"/>
        <v>0</v>
      </c>
    </row>
    <row r="166" spans="3:15" x14ac:dyDescent="0.35">
      <c r="C166">
        <v>155</v>
      </c>
      <c r="D166" s="4">
        <v>754.36640000000102</v>
      </c>
      <c r="E166" s="4">
        <f t="shared" si="14"/>
        <v>0</v>
      </c>
      <c r="F166" s="4">
        <f t="shared" si="20"/>
        <v>2.4746036526883709E-3</v>
      </c>
      <c r="G166" s="4">
        <f t="shared" si="19"/>
        <v>4.9492073053767453E-3</v>
      </c>
      <c r="H166" s="4">
        <f t="shared" si="19"/>
        <v>6.4785964714227946E-3</v>
      </c>
      <c r="I166" s="4">
        <f t="shared" si="19"/>
        <v>8.0079856374688542E-3</v>
      </c>
      <c r="J166" s="4">
        <f t="shared" si="19"/>
        <v>8.0079856374688473E-3</v>
      </c>
      <c r="K166" s="4">
        <f t="shared" si="19"/>
        <v>8.0079856374688542E-3</v>
      </c>
      <c r="L166" s="4">
        <f t="shared" si="19"/>
        <v>6.4785964714227946E-3</v>
      </c>
      <c r="M166" s="4">
        <f t="shared" si="19"/>
        <v>4.9492073053767453E-3</v>
      </c>
      <c r="N166" s="4">
        <f t="shared" si="19"/>
        <v>2.4746036526883709E-3</v>
      </c>
      <c r="O166">
        <f t="shared" si="15"/>
        <v>0</v>
      </c>
    </row>
    <row r="167" spans="3:15" x14ac:dyDescent="0.35">
      <c r="C167">
        <v>156</v>
      </c>
      <c r="D167" s="4">
        <v>759.23328000000095</v>
      </c>
      <c r="E167" s="4">
        <f t="shared" si="14"/>
        <v>0</v>
      </c>
      <c r="F167" s="4">
        <f t="shared" si="20"/>
        <v>2.4746036526883727E-3</v>
      </c>
      <c r="G167" s="4">
        <f t="shared" si="19"/>
        <v>4.4766000620555827E-3</v>
      </c>
      <c r="H167" s="4">
        <f t="shared" si="19"/>
        <v>6.4785964714227998E-3</v>
      </c>
      <c r="I167" s="4">
        <f t="shared" si="19"/>
        <v>7.2432910544458209E-3</v>
      </c>
      <c r="J167" s="4">
        <f t="shared" si="19"/>
        <v>8.0079856374688542E-3</v>
      </c>
      <c r="K167" s="4">
        <f t="shared" si="19"/>
        <v>7.2432910544458209E-3</v>
      </c>
      <c r="L167" s="4">
        <f t="shared" si="19"/>
        <v>6.4785964714227998E-3</v>
      </c>
      <c r="M167" s="4">
        <f t="shared" si="19"/>
        <v>4.4766000620555827E-3</v>
      </c>
      <c r="N167" s="4">
        <f t="shared" si="19"/>
        <v>2.4746036526883727E-3</v>
      </c>
      <c r="O167">
        <f t="shared" si="15"/>
        <v>0</v>
      </c>
    </row>
    <row r="168" spans="3:15" x14ac:dyDescent="0.35">
      <c r="C168">
        <v>157</v>
      </c>
      <c r="D168" s="4">
        <v>764.10016000000201</v>
      </c>
      <c r="E168" s="4">
        <f t="shared" si="14"/>
        <v>0</v>
      </c>
      <c r="F168" s="4">
        <f t="shared" si="20"/>
        <v>2.2383000310277914E-3</v>
      </c>
      <c r="G168" s="4">
        <f t="shared" si="19"/>
        <v>4.4766000620555862E-3</v>
      </c>
      <c r="H168" s="4">
        <f t="shared" si="19"/>
        <v>5.8599455582507018E-3</v>
      </c>
      <c r="I168" s="4">
        <f t="shared" si="19"/>
        <v>7.243291054445827E-3</v>
      </c>
      <c r="J168" s="4">
        <f t="shared" si="19"/>
        <v>7.2432910544458209E-3</v>
      </c>
      <c r="K168" s="4">
        <f t="shared" si="19"/>
        <v>7.243291054445827E-3</v>
      </c>
      <c r="L168" s="4">
        <f t="shared" si="19"/>
        <v>5.8599455582507018E-3</v>
      </c>
      <c r="M168" s="4">
        <f t="shared" si="19"/>
        <v>4.4766000620555862E-3</v>
      </c>
      <c r="N168" s="4">
        <f t="shared" si="19"/>
        <v>2.2383000310277914E-3</v>
      </c>
      <c r="O168">
        <f t="shared" si="15"/>
        <v>0</v>
      </c>
    </row>
    <row r="169" spans="3:15" x14ac:dyDescent="0.35">
      <c r="C169">
        <v>158</v>
      </c>
      <c r="D169" s="4">
        <v>768.96704000000204</v>
      </c>
      <c r="E169" s="4">
        <f t="shared" si="14"/>
        <v>0</v>
      </c>
      <c r="F169" s="4">
        <f t="shared" si="20"/>
        <v>2.2383000310277931E-3</v>
      </c>
      <c r="G169" s="4">
        <f t="shared" si="19"/>
        <v>4.0491227946392464E-3</v>
      </c>
      <c r="H169" s="4">
        <f t="shared" si="19"/>
        <v>5.8599455582507062E-3</v>
      </c>
      <c r="I169" s="4">
        <f t="shared" si="19"/>
        <v>6.5516183063482614E-3</v>
      </c>
      <c r="J169" s="4">
        <f t="shared" si="19"/>
        <v>7.243291054445827E-3</v>
      </c>
      <c r="K169" s="4">
        <f t="shared" si="19"/>
        <v>6.5516183063482614E-3</v>
      </c>
      <c r="L169" s="4">
        <f t="shared" si="19"/>
        <v>5.8599455582507062E-3</v>
      </c>
      <c r="M169" s="4">
        <f t="shared" si="19"/>
        <v>4.0491227946392464E-3</v>
      </c>
      <c r="N169" s="4">
        <f t="shared" si="19"/>
        <v>2.2383000310277931E-3</v>
      </c>
      <c r="O169">
        <f t="shared" si="15"/>
        <v>0</v>
      </c>
    </row>
    <row r="170" spans="3:15" x14ac:dyDescent="0.35">
      <c r="C170">
        <v>159</v>
      </c>
      <c r="D170" s="4">
        <v>773.83392000000197</v>
      </c>
      <c r="E170" s="4">
        <f t="shared" si="14"/>
        <v>0</v>
      </c>
      <c r="F170" s="4">
        <f t="shared" si="20"/>
        <v>2.0245613973196232E-3</v>
      </c>
      <c r="G170" s="4">
        <f t="shared" si="19"/>
        <v>4.0491227946392499E-3</v>
      </c>
      <c r="H170" s="4">
        <f t="shared" si="19"/>
        <v>5.3003705504937534E-3</v>
      </c>
      <c r="I170" s="4">
        <f t="shared" si="19"/>
        <v>6.5516183063482666E-3</v>
      </c>
      <c r="J170" s="4">
        <f t="shared" si="19"/>
        <v>6.5516183063482614E-3</v>
      </c>
      <c r="K170" s="4">
        <f t="shared" si="19"/>
        <v>6.5516183063482666E-3</v>
      </c>
      <c r="L170" s="4">
        <f t="shared" si="19"/>
        <v>5.3003705504937534E-3</v>
      </c>
      <c r="M170" s="4">
        <f t="shared" si="19"/>
        <v>4.0491227946392499E-3</v>
      </c>
      <c r="N170" s="4">
        <f t="shared" si="19"/>
        <v>2.0245613973196232E-3</v>
      </c>
      <c r="O170">
        <f t="shared" si="15"/>
        <v>0</v>
      </c>
    </row>
    <row r="171" spans="3:15" x14ac:dyDescent="0.35">
      <c r="C171">
        <v>160</v>
      </c>
      <c r="D171" s="4">
        <v>778.700800000002</v>
      </c>
      <c r="E171" s="4">
        <f t="shared" si="14"/>
        <v>0</v>
      </c>
      <c r="F171" s="4">
        <f t="shared" si="20"/>
        <v>2.0245613973196249E-3</v>
      </c>
      <c r="G171" s="4">
        <f t="shared" si="19"/>
        <v>3.6624659739066881E-3</v>
      </c>
      <c r="H171" s="4">
        <f t="shared" si="19"/>
        <v>5.3003705504937586E-3</v>
      </c>
      <c r="I171" s="4">
        <f t="shared" si="19"/>
        <v>5.9259944284210074E-3</v>
      </c>
      <c r="J171" s="4">
        <f t="shared" si="19"/>
        <v>6.5516183063482666E-3</v>
      </c>
      <c r="K171" s="4">
        <f t="shared" si="19"/>
        <v>5.9259944284210074E-3</v>
      </c>
      <c r="L171" s="4">
        <f t="shared" si="19"/>
        <v>5.3003705504937586E-3</v>
      </c>
      <c r="M171" s="4">
        <f t="shared" si="19"/>
        <v>3.6624659739066881E-3</v>
      </c>
      <c r="N171" s="4">
        <f t="shared" si="19"/>
        <v>2.0245613973196249E-3</v>
      </c>
      <c r="O171">
        <f t="shared" si="15"/>
        <v>0</v>
      </c>
    </row>
    <row r="172" spans="3:15" x14ac:dyDescent="0.35">
      <c r="C172">
        <v>161</v>
      </c>
      <c r="D172" s="4">
        <v>783.56768000000204</v>
      </c>
      <c r="E172" s="4">
        <f t="shared" si="14"/>
        <v>0</v>
      </c>
      <c r="F172" s="4">
        <f t="shared" si="20"/>
        <v>1.831232986953344E-3</v>
      </c>
      <c r="G172" s="4">
        <f t="shared" si="19"/>
        <v>3.6624659739066916E-3</v>
      </c>
      <c r="H172" s="4">
        <f t="shared" si="19"/>
        <v>4.7942302011638478E-3</v>
      </c>
      <c r="I172" s="4">
        <f t="shared" si="19"/>
        <v>5.9259944284210126E-3</v>
      </c>
      <c r="J172" s="4">
        <f t="shared" si="19"/>
        <v>5.9259944284210074E-3</v>
      </c>
      <c r="K172" s="4">
        <f t="shared" si="19"/>
        <v>5.9259944284210126E-3</v>
      </c>
      <c r="L172" s="4">
        <f t="shared" si="19"/>
        <v>4.7942302011638478E-3</v>
      </c>
      <c r="M172" s="4">
        <f t="shared" si="19"/>
        <v>3.6624659739066916E-3</v>
      </c>
      <c r="N172" s="4">
        <f t="shared" si="19"/>
        <v>1.831232986953344E-3</v>
      </c>
      <c r="O172">
        <f t="shared" si="15"/>
        <v>0</v>
      </c>
    </row>
    <row r="173" spans="3:15" x14ac:dyDescent="0.35">
      <c r="C173">
        <v>162</v>
      </c>
      <c r="D173" s="4">
        <v>788.43456000000197</v>
      </c>
      <c r="E173" s="4">
        <f t="shared" si="14"/>
        <v>0</v>
      </c>
      <c r="F173" s="4">
        <f t="shared" si="20"/>
        <v>1.8312329869533458E-3</v>
      </c>
      <c r="G173" s="4">
        <f t="shared" si="19"/>
        <v>3.3127315940585959E-3</v>
      </c>
      <c r="H173" s="4">
        <f t="shared" si="19"/>
        <v>4.7942302011638521E-3</v>
      </c>
      <c r="I173" s="4">
        <f t="shared" si="19"/>
        <v>5.3601123147924276E-3</v>
      </c>
      <c r="J173" s="4">
        <f t="shared" si="19"/>
        <v>5.9259944284210126E-3</v>
      </c>
      <c r="K173" s="4">
        <f t="shared" si="19"/>
        <v>5.3601123147924276E-3</v>
      </c>
      <c r="L173" s="4">
        <f t="shared" si="19"/>
        <v>4.7942302011638521E-3</v>
      </c>
      <c r="M173" s="4">
        <f t="shared" si="19"/>
        <v>3.3127315940585959E-3</v>
      </c>
      <c r="N173" s="4">
        <f t="shared" si="19"/>
        <v>1.8312329869533458E-3</v>
      </c>
      <c r="O173">
        <f t="shared" si="15"/>
        <v>0</v>
      </c>
    </row>
    <row r="174" spans="3:15" x14ac:dyDescent="0.35">
      <c r="C174">
        <v>163</v>
      </c>
      <c r="D174" s="4">
        <v>793.301440000002</v>
      </c>
      <c r="E174" s="4">
        <f t="shared" si="14"/>
        <v>0</v>
      </c>
      <c r="F174" s="4">
        <f t="shared" si="20"/>
        <v>1.656365797029298E-3</v>
      </c>
      <c r="G174" s="4">
        <f t="shared" si="19"/>
        <v>3.3127315940585989E-3</v>
      </c>
      <c r="H174" s="4">
        <f t="shared" si="19"/>
        <v>4.3364219544255117E-3</v>
      </c>
      <c r="I174" s="4">
        <f t="shared" si="19"/>
        <v>5.3601123147924319E-3</v>
      </c>
      <c r="J174" s="4">
        <f t="shared" si="19"/>
        <v>5.3601123147924276E-3</v>
      </c>
      <c r="K174" s="4">
        <f t="shared" si="19"/>
        <v>5.3601123147924319E-3</v>
      </c>
      <c r="L174" s="4">
        <f t="shared" si="19"/>
        <v>4.3364219544255117E-3</v>
      </c>
      <c r="M174" s="4">
        <f t="shared" si="19"/>
        <v>3.3127315940585989E-3</v>
      </c>
      <c r="N174" s="4">
        <f t="shared" si="19"/>
        <v>1.656365797029298E-3</v>
      </c>
      <c r="O174">
        <f t="shared" si="15"/>
        <v>0</v>
      </c>
    </row>
    <row r="175" spans="3:15" x14ac:dyDescent="0.35">
      <c r="C175">
        <v>164</v>
      </c>
      <c r="D175" s="4">
        <v>798.16832000000204</v>
      </c>
      <c r="E175" s="4">
        <f t="shared" ref="E175:E234" si="21">$E$11</f>
        <v>0</v>
      </c>
      <c r="F175" s="4">
        <f t="shared" si="20"/>
        <v>1.6563657970292995E-3</v>
      </c>
      <c r="G175" s="4">
        <f t="shared" si="19"/>
        <v>2.9963938757274046E-3</v>
      </c>
      <c r="H175" s="4">
        <f t="shared" si="19"/>
        <v>4.3364219544255152E-3</v>
      </c>
      <c r="I175" s="4">
        <f t="shared" si="19"/>
        <v>4.8482671346089697E-3</v>
      </c>
      <c r="J175" s="4">
        <f t="shared" si="19"/>
        <v>5.3601123147924319E-3</v>
      </c>
      <c r="K175" s="4">
        <f t="shared" si="19"/>
        <v>4.8482671346089697E-3</v>
      </c>
      <c r="L175" s="4">
        <f t="shared" si="19"/>
        <v>4.3364219544255152E-3</v>
      </c>
      <c r="M175" s="4">
        <f t="shared" si="19"/>
        <v>2.9963938757274046E-3</v>
      </c>
      <c r="N175" s="4">
        <f t="shared" si="19"/>
        <v>1.6563657970292995E-3</v>
      </c>
      <c r="O175">
        <f t="shared" ref="O175:O234" si="22">$O$11</f>
        <v>0</v>
      </c>
    </row>
    <row r="176" spans="3:15" x14ac:dyDescent="0.35">
      <c r="C176">
        <v>165</v>
      </c>
      <c r="D176" s="4">
        <v>803.03520000000196</v>
      </c>
      <c r="E176" s="4">
        <f t="shared" si="21"/>
        <v>0</v>
      </c>
      <c r="F176" s="4">
        <f t="shared" si="20"/>
        <v>1.4981969378637023E-3</v>
      </c>
      <c r="G176" s="4">
        <f t="shared" si="19"/>
        <v>2.9963938757274072E-3</v>
      </c>
      <c r="H176" s="4">
        <f t="shared" si="19"/>
        <v>3.9223305051681867E-3</v>
      </c>
      <c r="I176" s="4">
        <f t="shared" si="19"/>
        <v>4.8482671346089731E-3</v>
      </c>
      <c r="J176" s="4">
        <f t="shared" si="19"/>
        <v>4.8482671346089697E-3</v>
      </c>
      <c r="K176" s="4">
        <f t="shared" si="19"/>
        <v>4.8482671346089731E-3</v>
      </c>
      <c r="L176" s="4">
        <f t="shared" si="19"/>
        <v>3.9223305051681867E-3</v>
      </c>
      <c r="M176" s="4">
        <f t="shared" si="19"/>
        <v>2.9963938757274072E-3</v>
      </c>
      <c r="N176" s="4">
        <f t="shared" si="19"/>
        <v>1.4981969378637023E-3</v>
      </c>
      <c r="O176">
        <f t="shared" si="22"/>
        <v>0</v>
      </c>
    </row>
    <row r="177" spans="3:15" x14ac:dyDescent="0.35">
      <c r="C177">
        <v>166</v>
      </c>
      <c r="D177" s="4">
        <v>807.902080000002</v>
      </c>
      <c r="E177" s="4">
        <f t="shared" si="21"/>
        <v>0</v>
      </c>
      <c r="F177" s="4">
        <f t="shared" si="20"/>
        <v>1.4981969378637036E-3</v>
      </c>
      <c r="G177" s="4">
        <f t="shared" si="19"/>
        <v>2.7102637215159443E-3</v>
      </c>
      <c r="H177" s="4">
        <f t="shared" si="19"/>
        <v>3.9223305051681902E-3</v>
      </c>
      <c r="I177" s="4">
        <f t="shared" si="19"/>
        <v>4.3852988198885782E-3</v>
      </c>
      <c r="J177" s="4">
        <f t="shared" si="19"/>
        <v>4.8482671346089731E-3</v>
      </c>
      <c r="K177" s="4">
        <f t="shared" si="19"/>
        <v>4.3852988198885782E-3</v>
      </c>
      <c r="L177" s="4">
        <f t="shared" si="19"/>
        <v>3.9223305051681902E-3</v>
      </c>
      <c r="M177" s="4">
        <f t="shared" si="19"/>
        <v>2.7102637215159443E-3</v>
      </c>
      <c r="N177" s="4">
        <f t="shared" si="19"/>
        <v>1.4981969378637036E-3</v>
      </c>
      <c r="O177">
        <f t="shared" si="22"/>
        <v>0</v>
      </c>
    </row>
    <row r="178" spans="3:15" x14ac:dyDescent="0.35">
      <c r="C178">
        <v>167</v>
      </c>
      <c r="D178" s="4">
        <v>812.76896000000204</v>
      </c>
      <c r="E178" s="4">
        <f t="shared" si="21"/>
        <v>0</v>
      </c>
      <c r="F178" s="4">
        <f t="shared" si="20"/>
        <v>1.3551318607579721E-3</v>
      </c>
      <c r="G178" s="4">
        <f t="shared" si="19"/>
        <v>2.7102637215159469E-3</v>
      </c>
      <c r="H178" s="4">
        <f t="shared" si="19"/>
        <v>3.5477812707022612E-3</v>
      </c>
      <c r="I178" s="4">
        <f t="shared" si="19"/>
        <v>4.3852988198885817E-3</v>
      </c>
      <c r="J178" s="4">
        <f t="shared" si="19"/>
        <v>4.3852988198885782E-3</v>
      </c>
      <c r="K178" s="4">
        <f t="shared" si="19"/>
        <v>4.3852988198885817E-3</v>
      </c>
      <c r="L178" s="4">
        <f t="shared" si="19"/>
        <v>3.5477812707022612E-3</v>
      </c>
      <c r="M178" s="4">
        <f t="shared" si="19"/>
        <v>2.7102637215159469E-3</v>
      </c>
      <c r="N178" s="4">
        <f t="shared" si="19"/>
        <v>1.3551318607579721E-3</v>
      </c>
      <c r="O178">
        <f t="shared" si="22"/>
        <v>0</v>
      </c>
    </row>
    <row r="179" spans="3:15" x14ac:dyDescent="0.35">
      <c r="C179">
        <v>168</v>
      </c>
      <c r="D179" s="4">
        <v>817.63584000000196</v>
      </c>
      <c r="E179" s="4">
        <f t="shared" si="21"/>
        <v>0</v>
      </c>
      <c r="F179" s="4">
        <f t="shared" si="20"/>
        <v>1.3551318607579734E-3</v>
      </c>
      <c r="G179" s="4">
        <f t="shared" si="19"/>
        <v>2.4514565657301167E-3</v>
      </c>
      <c r="H179" s="4">
        <f t="shared" si="19"/>
        <v>3.5477812707022643E-3</v>
      </c>
      <c r="I179" s="4">
        <f t="shared" si="19"/>
        <v>3.9665400452954195E-3</v>
      </c>
      <c r="J179" s="4">
        <f t="shared" si="19"/>
        <v>4.3852988198885817E-3</v>
      </c>
      <c r="K179" s="4">
        <f t="shared" si="19"/>
        <v>3.9665400452954195E-3</v>
      </c>
      <c r="L179" s="4">
        <f t="shared" si="19"/>
        <v>3.5477812707022643E-3</v>
      </c>
      <c r="M179" s="4">
        <f t="shared" si="19"/>
        <v>2.4514565657301167E-3</v>
      </c>
      <c r="N179" s="4">
        <f t="shared" si="19"/>
        <v>1.3551318607579734E-3</v>
      </c>
      <c r="O179">
        <f t="shared" si="22"/>
        <v>0</v>
      </c>
    </row>
    <row r="180" spans="3:15" x14ac:dyDescent="0.35">
      <c r="C180">
        <v>169</v>
      </c>
      <c r="D180" s="4">
        <v>822.502720000002</v>
      </c>
      <c r="E180" s="4">
        <f t="shared" si="21"/>
        <v>0</v>
      </c>
      <c r="F180" s="4">
        <f t="shared" si="20"/>
        <v>1.2257282828650583E-3</v>
      </c>
      <c r="G180" s="4">
        <f t="shared" si="19"/>
        <v>2.4514565657301189E-3</v>
      </c>
      <c r="H180" s="4">
        <f t="shared" si="19"/>
        <v>3.2089983055127681E-3</v>
      </c>
      <c r="I180" s="4">
        <f t="shared" si="19"/>
        <v>3.966540045295423E-3</v>
      </c>
      <c r="J180" s="4">
        <f t="shared" si="19"/>
        <v>3.9665400452954195E-3</v>
      </c>
      <c r="K180" s="4">
        <f t="shared" si="19"/>
        <v>3.966540045295423E-3</v>
      </c>
      <c r="L180" s="4">
        <f t="shared" si="19"/>
        <v>3.2089983055127681E-3</v>
      </c>
      <c r="M180" s="4">
        <f t="shared" si="19"/>
        <v>2.4514565657301189E-3</v>
      </c>
      <c r="N180" s="4">
        <f t="shared" si="19"/>
        <v>1.2257282828650583E-3</v>
      </c>
      <c r="O180">
        <f t="shared" si="22"/>
        <v>0</v>
      </c>
    </row>
    <row r="181" spans="3:15" x14ac:dyDescent="0.35">
      <c r="C181">
        <v>170</v>
      </c>
      <c r="D181" s="4">
        <v>827.36960000000204</v>
      </c>
      <c r="E181" s="4">
        <f t="shared" si="21"/>
        <v>0</v>
      </c>
      <c r="F181" s="4">
        <f t="shared" si="20"/>
        <v>1.2257282828650594E-3</v>
      </c>
      <c r="G181" s="4">
        <f t="shared" si="19"/>
        <v>2.2173632941889132E-3</v>
      </c>
      <c r="H181" s="4">
        <f t="shared" si="19"/>
        <v>3.2089983055127707E-3</v>
      </c>
      <c r="I181" s="4">
        <f t="shared" si="19"/>
        <v>3.5877691754040938E-3</v>
      </c>
      <c r="J181" s="4">
        <f t="shared" si="19"/>
        <v>3.966540045295423E-3</v>
      </c>
      <c r="K181" s="4">
        <f t="shared" si="19"/>
        <v>3.5877691754040938E-3</v>
      </c>
      <c r="L181" s="4">
        <f t="shared" si="19"/>
        <v>3.2089983055127707E-3</v>
      </c>
      <c r="M181" s="4">
        <f t="shared" si="19"/>
        <v>2.2173632941889132E-3</v>
      </c>
      <c r="N181" s="4">
        <f t="shared" si="19"/>
        <v>1.2257282828650594E-3</v>
      </c>
      <c r="O181">
        <f t="shared" si="22"/>
        <v>0</v>
      </c>
    </row>
    <row r="182" spans="3:15" x14ac:dyDescent="0.35">
      <c r="C182">
        <v>171</v>
      </c>
      <c r="D182" s="4">
        <v>832.23648000000196</v>
      </c>
      <c r="E182" s="4">
        <f t="shared" si="21"/>
        <v>0</v>
      </c>
      <c r="F182" s="4">
        <f t="shared" si="20"/>
        <v>1.1086816470944566E-3</v>
      </c>
      <c r="G182" s="4">
        <f t="shared" si="19"/>
        <v>2.217363294188915E-3</v>
      </c>
      <c r="H182" s="4">
        <f t="shared" si="19"/>
        <v>2.9025662347965035E-3</v>
      </c>
      <c r="I182" s="4">
        <f t="shared" si="19"/>
        <v>3.5877691754040968E-3</v>
      </c>
      <c r="J182" s="4">
        <f t="shared" si="19"/>
        <v>3.5877691754040938E-3</v>
      </c>
      <c r="K182" s="4">
        <f t="shared" si="19"/>
        <v>3.5877691754040968E-3</v>
      </c>
      <c r="L182" s="4">
        <f t="shared" si="19"/>
        <v>2.9025662347965035E-3</v>
      </c>
      <c r="M182" s="4">
        <f t="shared" si="19"/>
        <v>2.217363294188915E-3</v>
      </c>
      <c r="N182" s="4">
        <f t="shared" si="19"/>
        <v>1.1086816470944566E-3</v>
      </c>
      <c r="O182">
        <f t="shared" si="22"/>
        <v>0</v>
      </c>
    </row>
    <row r="183" spans="3:15" x14ac:dyDescent="0.35">
      <c r="C183">
        <v>172</v>
      </c>
      <c r="D183" s="4">
        <v>837.103360000002</v>
      </c>
      <c r="E183" s="4">
        <f t="shared" si="21"/>
        <v>0</v>
      </c>
      <c r="F183" s="4">
        <f t="shared" si="20"/>
        <v>1.1086816470944575E-3</v>
      </c>
      <c r="G183" s="4">
        <f t="shared" si="19"/>
        <v>2.0056239409454802E-3</v>
      </c>
      <c r="H183" s="4">
        <f t="shared" si="19"/>
        <v>2.9025662347965057E-3</v>
      </c>
      <c r="I183" s="4">
        <f t="shared" si="19"/>
        <v>3.2451677051002987E-3</v>
      </c>
      <c r="J183" s="4">
        <f t="shared" si="19"/>
        <v>3.5877691754040968E-3</v>
      </c>
      <c r="K183" s="4">
        <f t="shared" si="19"/>
        <v>3.2451677051002987E-3</v>
      </c>
      <c r="L183" s="4">
        <f t="shared" si="19"/>
        <v>2.9025662347965057E-3</v>
      </c>
      <c r="M183" s="4">
        <f t="shared" si="19"/>
        <v>2.0056239409454802E-3</v>
      </c>
      <c r="N183" s="4">
        <f t="shared" si="19"/>
        <v>1.1086816470944575E-3</v>
      </c>
      <c r="O183">
        <f t="shared" si="22"/>
        <v>0</v>
      </c>
    </row>
    <row r="184" spans="3:15" x14ac:dyDescent="0.35">
      <c r="C184">
        <v>173</v>
      </c>
      <c r="D184" s="4">
        <v>841.97024000000204</v>
      </c>
      <c r="E184" s="4">
        <f t="shared" si="21"/>
        <v>0</v>
      </c>
      <c r="F184" s="4">
        <f t="shared" si="20"/>
        <v>1.0028119704727401E-3</v>
      </c>
      <c r="G184" s="4">
        <f t="shared" si="19"/>
        <v>2.0056239409454815E-3</v>
      </c>
      <c r="H184" s="4">
        <f t="shared" si="19"/>
        <v>2.6253958230228894E-3</v>
      </c>
      <c r="I184" s="4">
        <f t="shared" si="19"/>
        <v>3.2451677051003013E-3</v>
      </c>
      <c r="J184" s="4">
        <f t="shared" si="19"/>
        <v>3.2451677051002987E-3</v>
      </c>
      <c r="K184" s="4">
        <f t="shared" si="19"/>
        <v>3.2451677051003013E-3</v>
      </c>
      <c r="L184" s="4">
        <f t="shared" si="19"/>
        <v>2.6253958230228894E-3</v>
      </c>
      <c r="M184" s="4">
        <f t="shared" si="19"/>
        <v>2.0056239409454815E-3</v>
      </c>
      <c r="N184" s="4">
        <f t="shared" si="19"/>
        <v>1.0028119704727401E-3</v>
      </c>
      <c r="O184">
        <f t="shared" si="22"/>
        <v>0</v>
      </c>
    </row>
    <row r="185" spans="3:15" x14ac:dyDescent="0.35">
      <c r="C185">
        <v>174</v>
      </c>
      <c r="D185" s="4">
        <v>846.83712000000196</v>
      </c>
      <c r="E185" s="4">
        <f t="shared" si="21"/>
        <v>0</v>
      </c>
      <c r="F185" s="4">
        <f t="shared" si="20"/>
        <v>1.0028119704727407E-3</v>
      </c>
      <c r="G185" s="4">
        <f t="shared" si="19"/>
        <v>1.8141038967478147E-3</v>
      </c>
      <c r="H185" s="4">
        <f t="shared" si="19"/>
        <v>2.6253958230228911E-3</v>
      </c>
      <c r="I185" s="4">
        <f t="shared" si="19"/>
        <v>2.935281764061594E-3</v>
      </c>
      <c r="J185" s="4">
        <f t="shared" si="19"/>
        <v>3.2451677051003013E-3</v>
      </c>
      <c r="K185" s="4">
        <f t="shared" si="19"/>
        <v>2.935281764061594E-3</v>
      </c>
      <c r="L185" s="4">
        <f t="shared" si="19"/>
        <v>2.6253958230228911E-3</v>
      </c>
      <c r="M185" s="4">
        <f t="shared" si="19"/>
        <v>1.8141038967478147E-3</v>
      </c>
      <c r="N185" s="4">
        <f t="shared" si="19"/>
        <v>1.0028119704727407E-3</v>
      </c>
      <c r="O185">
        <f t="shared" si="22"/>
        <v>0</v>
      </c>
    </row>
    <row r="186" spans="3:15" x14ac:dyDescent="0.35">
      <c r="C186">
        <v>175</v>
      </c>
      <c r="D186" s="4">
        <v>851.704000000002</v>
      </c>
      <c r="E186" s="4">
        <f t="shared" si="21"/>
        <v>0</v>
      </c>
      <c r="F186" s="4">
        <f t="shared" si="20"/>
        <v>9.0705194837390737E-4</v>
      </c>
      <c r="G186" s="4">
        <f t="shared" si="19"/>
        <v>1.8141038967478158E-3</v>
      </c>
      <c r="H186" s="4">
        <f t="shared" si="19"/>
        <v>2.3746928304047045E-3</v>
      </c>
      <c r="I186" s="4">
        <f t="shared" si="19"/>
        <v>2.9352817640615962E-3</v>
      </c>
      <c r="J186" s="4">
        <f t="shared" si="19"/>
        <v>2.935281764061594E-3</v>
      </c>
      <c r="K186" s="4">
        <f t="shared" si="19"/>
        <v>2.9352817640615962E-3</v>
      </c>
      <c r="L186" s="4">
        <f t="shared" si="19"/>
        <v>2.3746928304047045E-3</v>
      </c>
      <c r="M186" s="4">
        <f t="shared" si="19"/>
        <v>1.8141038967478158E-3</v>
      </c>
      <c r="N186" s="4">
        <f t="shared" si="19"/>
        <v>9.0705194837390737E-4</v>
      </c>
      <c r="O186">
        <f t="shared" si="22"/>
        <v>0</v>
      </c>
    </row>
    <row r="187" spans="3:15" x14ac:dyDescent="0.35">
      <c r="C187">
        <v>176</v>
      </c>
      <c r="D187" s="4">
        <v>856.57088000000203</v>
      </c>
      <c r="E187" s="4">
        <f t="shared" si="21"/>
        <v>0</v>
      </c>
      <c r="F187" s="4">
        <f t="shared" si="20"/>
        <v>9.0705194837390792E-4</v>
      </c>
      <c r="G187" s="4">
        <f t="shared" si="19"/>
        <v>1.640872389389306E-3</v>
      </c>
      <c r="H187" s="4">
        <f t="shared" si="19"/>
        <v>2.3746928304047062E-3</v>
      </c>
      <c r="I187" s="4">
        <f t="shared" si="19"/>
        <v>2.6549872972331493E-3</v>
      </c>
      <c r="J187" s="4">
        <f t="shared" si="19"/>
        <v>2.9352817640615962E-3</v>
      </c>
      <c r="K187" s="4">
        <f t="shared" si="19"/>
        <v>2.6549872972331493E-3</v>
      </c>
      <c r="L187" s="4">
        <f t="shared" si="19"/>
        <v>2.3746928304047062E-3</v>
      </c>
      <c r="M187" s="4">
        <f t="shared" si="19"/>
        <v>1.640872389389306E-3</v>
      </c>
      <c r="N187" s="4">
        <f t="shared" si="19"/>
        <v>9.0705194837390792E-4</v>
      </c>
      <c r="O187">
        <f t="shared" si="22"/>
        <v>0</v>
      </c>
    </row>
    <row r="188" spans="3:15" x14ac:dyDescent="0.35">
      <c r="C188">
        <v>177</v>
      </c>
      <c r="D188" s="4">
        <v>861.43776000000196</v>
      </c>
      <c r="E188" s="4">
        <f t="shared" si="21"/>
        <v>0</v>
      </c>
      <c r="F188" s="4">
        <f t="shared" si="20"/>
        <v>8.2043619469465299E-4</v>
      </c>
      <c r="G188" s="4">
        <f t="shared" si="19"/>
        <v>1.6408723893893071E-3</v>
      </c>
      <c r="H188" s="4">
        <f t="shared" si="19"/>
        <v>2.1479298433112275E-3</v>
      </c>
      <c r="I188" s="4">
        <f t="shared" si="19"/>
        <v>2.6549872972331514E-3</v>
      </c>
      <c r="J188" s="4">
        <f t="shared" si="19"/>
        <v>2.6549872972331493E-3</v>
      </c>
      <c r="K188" s="4">
        <f t="shared" si="19"/>
        <v>2.6549872972331514E-3</v>
      </c>
      <c r="L188" s="4">
        <f t="shared" si="19"/>
        <v>2.1479298433112275E-3</v>
      </c>
      <c r="M188" s="4">
        <f t="shared" si="19"/>
        <v>1.6408723893893071E-3</v>
      </c>
      <c r="N188" s="4">
        <f t="shared" si="19"/>
        <v>8.2043619469465299E-4</v>
      </c>
      <c r="O188">
        <f t="shared" si="22"/>
        <v>0</v>
      </c>
    </row>
    <row r="189" spans="3:15" x14ac:dyDescent="0.35">
      <c r="C189">
        <v>178</v>
      </c>
      <c r="D189" s="4">
        <v>866.304640000002</v>
      </c>
      <c r="E189" s="4">
        <f t="shared" si="21"/>
        <v>0</v>
      </c>
      <c r="F189" s="4">
        <f t="shared" si="20"/>
        <v>8.2043619469465354E-4</v>
      </c>
      <c r="G189" s="4">
        <f t="shared" si="19"/>
        <v>1.4841830190029403E-3</v>
      </c>
      <c r="H189" s="4">
        <f t="shared" si="19"/>
        <v>2.1479298433112293E-3</v>
      </c>
      <c r="I189" s="4">
        <f t="shared" si="19"/>
        <v>2.4014585702721884E-3</v>
      </c>
      <c r="J189" s="4">
        <f t="shared" si="19"/>
        <v>2.6549872972331514E-3</v>
      </c>
      <c r="K189" s="4">
        <f t="shared" si="19"/>
        <v>2.4014585702721884E-3</v>
      </c>
      <c r="L189" s="4">
        <f t="shared" si="19"/>
        <v>2.1479298433112293E-3</v>
      </c>
      <c r="M189" s="4">
        <f t="shared" si="19"/>
        <v>1.4841830190029403E-3</v>
      </c>
      <c r="N189" s="4">
        <f t="shared" si="19"/>
        <v>8.2043619469465354E-4</v>
      </c>
      <c r="O189">
        <f t="shared" si="22"/>
        <v>0</v>
      </c>
    </row>
    <row r="190" spans="3:15" x14ac:dyDescent="0.35">
      <c r="C190">
        <v>179</v>
      </c>
      <c r="D190" s="4">
        <v>871.17152000000203</v>
      </c>
      <c r="E190" s="4">
        <f t="shared" si="21"/>
        <v>0</v>
      </c>
      <c r="F190" s="4">
        <f t="shared" si="20"/>
        <v>7.4209150950147016E-4</v>
      </c>
      <c r="G190" s="4">
        <f t="shared" si="19"/>
        <v>1.4841830190029414E-3</v>
      </c>
      <c r="H190" s="4">
        <f t="shared" si="19"/>
        <v>1.9428207946375644E-3</v>
      </c>
      <c r="I190" s="4">
        <f t="shared" si="19"/>
        <v>2.4014585702721901E-3</v>
      </c>
      <c r="J190" s="4">
        <f t="shared" si="19"/>
        <v>2.4014585702721884E-3</v>
      </c>
      <c r="K190" s="4">
        <f t="shared" si="19"/>
        <v>2.4014585702721901E-3</v>
      </c>
      <c r="L190" s="4">
        <f t="shared" si="19"/>
        <v>1.9428207946375644E-3</v>
      </c>
      <c r="M190" s="4">
        <f t="shared" si="19"/>
        <v>1.4841830190029414E-3</v>
      </c>
      <c r="N190" s="4">
        <f t="shared" si="19"/>
        <v>7.4209150950147016E-4</v>
      </c>
      <c r="O190">
        <f t="shared" si="22"/>
        <v>0</v>
      </c>
    </row>
    <row r="191" spans="3:15" x14ac:dyDescent="0.35">
      <c r="C191">
        <v>180</v>
      </c>
      <c r="D191" s="4">
        <v>876.03840000000196</v>
      </c>
      <c r="E191" s="4">
        <f t="shared" si="21"/>
        <v>0</v>
      </c>
      <c r="F191" s="4">
        <f t="shared" si="20"/>
        <v>7.420915095014707E-4</v>
      </c>
      <c r="G191" s="4">
        <f t="shared" si="19"/>
        <v>1.3424561520695173E-3</v>
      </c>
      <c r="H191" s="4">
        <f t="shared" si="19"/>
        <v>1.9428207946375659E-3</v>
      </c>
      <c r="I191" s="4">
        <f t="shared" si="19"/>
        <v>2.1721396824548765E-3</v>
      </c>
      <c r="J191" s="4">
        <f t="shared" si="19"/>
        <v>2.4014585702721901E-3</v>
      </c>
      <c r="K191" s="4">
        <f t="shared" si="19"/>
        <v>2.1721396824548765E-3</v>
      </c>
      <c r="L191" s="4">
        <f t="shared" si="19"/>
        <v>1.9428207946375659E-3</v>
      </c>
      <c r="M191" s="4">
        <f t="shared" si="19"/>
        <v>1.3424561520695173E-3</v>
      </c>
      <c r="N191" s="4">
        <f t="shared" si="19"/>
        <v>7.420915095014707E-4</v>
      </c>
      <c r="O191">
        <f t="shared" si="22"/>
        <v>0</v>
      </c>
    </row>
    <row r="192" spans="3:15" x14ac:dyDescent="0.35">
      <c r="C192">
        <v>181</v>
      </c>
      <c r="D192" s="4">
        <v>880.90528000000199</v>
      </c>
      <c r="E192" s="4">
        <f t="shared" si="21"/>
        <v>0</v>
      </c>
      <c r="F192" s="4">
        <f t="shared" si="20"/>
        <v>6.7122807603475863E-4</v>
      </c>
      <c r="G192" s="4">
        <f t="shared" si="19"/>
        <v>1.3424561520695183E-3</v>
      </c>
      <c r="H192" s="4">
        <f t="shared" si="19"/>
        <v>1.7572979172621969E-3</v>
      </c>
      <c r="I192" s="4">
        <f t="shared" si="19"/>
        <v>2.1721396824548782E-3</v>
      </c>
      <c r="J192" s="4">
        <f t="shared" si="19"/>
        <v>2.1721396824548765E-3</v>
      </c>
      <c r="K192" s="4">
        <f t="shared" si="19"/>
        <v>2.1721396824548782E-3</v>
      </c>
      <c r="L192" s="4">
        <f t="shared" si="19"/>
        <v>1.7572979172621969E-3</v>
      </c>
      <c r="M192" s="4">
        <f t="shared" si="19"/>
        <v>1.3424561520695183E-3</v>
      </c>
      <c r="N192" s="4">
        <f t="shared" si="19"/>
        <v>6.7122807603475863E-4</v>
      </c>
      <c r="O192">
        <f t="shared" si="22"/>
        <v>0</v>
      </c>
    </row>
    <row r="193" spans="3:15" x14ac:dyDescent="0.35">
      <c r="C193">
        <v>182</v>
      </c>
      <c r="D193" s="4">
        <v>885.77216000000203</v>
      </c>
      <c r="E193" s="4">
        <f t="shared" si="21"/>
        <v>0</v>
      </c>
      <c r="F193" s="4">
        <f t="shared" si="20"/>
        <v>6.7122807603475917E-4</v>
      </c>
      <c r="G193" s="4">
        <f t="shared" si="19"/>
        <v>1.2142629966484777E-3</v>
      </c>
      <c r="H193" s="4">
        <f t="shared" si="19"/>
        <v>1.7572979172621982E-3</v>
      </c>
      <c r="I193" s="4">
        <f t="shared" si="19"/>
        <v>1.9647187998585369E-3</v>
      </c>
      <c r="J193" s="4">
        <f t="shared" si="19"/>
        <v>2.1721396824548782E-3</v>
      </c>
      <c r="K193" s="4">
        <f t="shared" si="19"/>
        <v>1.9647187998585369E-3</v>
      </c>
      <c r="L193" s="4">
        <f t="shared" si="19"/>
        <v>1.7572979172621982E-3</v>
      </c>
      <c r="M193" s="4">
        <f t="shared" si="19"/>
        <v>1.2142629966484777E-3</v>
      </c>
      <c r="N193" s="4">
        <f t="shared" si="19"/>
        <v>6.7122807603475917E-4</v>
      </c>
      <c r="O193">
        <f t="shared" si="22"/>
        <v>0</v>
      </c>
    </row>
    <row r="194" spans="3:15" x14ac:dyDescent="0.35">
      <c r="C194">
        <v>183</v>
      </c>
      <c r="D194" s="4">
        <v>890.63904000000298</v>
      </c>
      <c r="E194" s="4">
        <f t="shared" si="21"/>
        <v>0</v>
      </c>
      <c r="F194" s="4">
        <f t="shared" si="20"/>
        <v>6.0713149832423887E-4</v>
      </c>
      <c r="G194" s="4">
        <f t="shared" si="19"/>
        <v>1.2142629966484786E-3</v>
      </c>
      <c r="H194" s="4">
        <f t="shared" si="19"/>
        <v>1.5894908982535074E-3</v>
      </c>
      <c r="I194" s="4">
        <f t="shared" si="19"/>
        <v>1.9647187998585382E-3</v>
      </c>
      <c r="J194" s="4">
        <f t="shared" si="19"/>
        <v>1.9647187998585369E-3</v>
      </c>
      <c r="K194" s="4">
        <f t="shared" si="19"/>
        <v>1.9647187998585382E-3</v>
      </c>
      <c r="L194" s="4">
        <f t="shared" si="19"/>
        <v>1.5894908982535074E-3</v>
      </c>
      <c r="M194" s="4">
        <f t="shared" si="19"/>
        <v>1.2142629966484786E-3</v>
      </c>
      <c r="N194" s="4">
        <f t="shared" si="19"/>
        <v>6.0713149832423887E-4</v>
      </c>
      <c r="O194">
        <f t="shared" si="22"/>
        <v>0</v>
      </c>
    </row>
    <row r="195" spans="3:15" x14ac:dyDescent="0.35">
      <c r="C195">
        <v>184</v>
      </c>
      <c r="D195" s="4">
        <v>895.50592000000302</v>
      </c>
      <c r="E195" s="4">
        <f t="shared" si="21"/>
        <v>0</v>
      </c>
      <c r="F195" s="4">
        <f t="shared" si="20"/>
        <v>6.0713149832423931E-4</v>
      </c>
      <c r="G195" s="4">
        <f t="shared" si="19"/>
        <v>1.0983111982888732E-3</v>
      </c>
      <c r="H195" s="4">
        <f t="shared" si="19"/>
        <v>1.5894908982535083E-3</v>
      </c>
      <c r="I195" s="4">
        <f t="shared" si="19"/>
        <v>1.7771048490560222E-3</v>
      </c>
      <c r="J195" s="4">
        <f t="shared" si="19"/>
        <v>1.9647187998585382E-3</v>
      </c>
      <c r="K195" s="4">
        <f t="shared" si="19"/>
        <v>1.7771048490560222E-3</v>
      </c>
      <c r="L195" s="4">
        <f t="shared" si="19"/>
        <v>1.5894908982535083E-3</v>
      </c>
      <c r="M195" s="4">
        <f t="shared" si="19"/>
        <v>1.0983111982888732E-3</v>
      </c>
      <c r="N195" s="4">
        <f t="shared" si="19"/>
        <v>6.0713149832423931E-4</v>
      </c>
      <c r="O195">
        <f t="shared" si="22"/>
        <v>0</v>
      </c>
    </row>
    <row r="196" spans="3:15" x14ac:dyDescent="0.35">
      <c r="C196">
        <v>185</v>
      </c>
      <c r="D196" s="4">
        <v>900.37280000000305</v>
      </c>
      <c r="E196" s="4">
        <f t="shared" si="21"/>
        <v>0</v>
      </c>
      <c r="F196" s="4">
        <f t="shared" si="20"/>
        <v>5.491555991444366E-4</v>
      </c>
      <c r="G196" s="4">
        <f t="shared" si="19"/>
        <v>1.0983111982888739E-3</v>
      </c>
      <c r="H196" s="4">
        <f t="shared" ref="G196:N227" si="23">(G195+I195)/2</f>
        <v>1.4377080236724477E-3</v>
      </c>
      <c r="I196" s="4">
        <f t="shared" si="23"/>
        <v>1.7771048490560232E-3</v>
      </c>
      <c r="J196" s="4">
        <f t="shared" si="23"/>
        <v>1.7771048490560222E-3</v>
      </c>
      <c r="K196" s="4">
        <f t="shared" si="23"/>
        <v>1.7771048490560232E-3</v>
      </c>
      <c r="L196" s="4">
        <f t="shared" si="23"/>
        <v>1.4377080236724477E-3</v>
      </c>
      <c r="M196" s="4">
        <f t="shared" si="23"/>
        <v>1.0983111982888739E-3</v>
      </c>
      <c r="N196" s="4">
        <f t="shared" si="23"/>
        <v>5.491555991444366E-4</v>
      </c>
      <c r="O196">
        <f t="shared" si="22"/>
        <v>0</v>
      </c>
    </row>
    <row r="197" spans="3:15" x14ac:dyDescent="0.35">
      <c r="C197">
        <v>186</v>
      </c>
      <c r="D197" s="4">
        <v>905.23968000000298</v>
      </c>
      <c r="E197" s="4">
        <f t="shared" si="21"/>
        <v>0</v>
      </c>
      <c r="F197" s="4">
        <f t="shared" si="20"/>
        <v>5.4915559914443693E-4</v>
      </c>
      <c r="G197" s="4">
        <f t="shared" si="23"/>
        <v>9.9343181140844209E-4</v>
      </c>
      <c r="H197" s="4">
        <f t="shared" si="23"/>
        <v>1.4377080236724485E-3</v>
      </c>
      <c r="I197" s="4">
        <f t="shared" si="23"/>
        <v>1.6074064363642349E-3</v>
      </c>
      <c r="J197" s="4">
        <f t="shared" si="23"/>
        <v>1.7771048490560232E-3</v>
      </c>
      <c r="K197" s="4">
        <f t="shared" si="23"/>
        <v>1.6074064363642349E-3</v>
      </c>
      <c r="L197" s="4">
        <f t="shared" si="23"/>
        <v>1.4377080236724485E-3</v>
      </c>
      <c r="M197" s="4">
        <f t="shared" si="23"/>
        <v>9.9343181140844209E-4</v>
      </c>
      <c r="N197" s="4">
        <f t="shared" si="23"/>
        <v>5.4915559914443693E-4</v>
      </c>
      <c r="O197">
        <f t="shared" si="22"/>
        <v>0</v>
      </c>
    </row>
    <row r="198" spans="3:15" x14ac:dyDescent="0.35">
      <c r="C198">
        <v>187</v>
      </c>
      <c r="D198" s="4">
        <v>910.10656000000301</v>
      </c>
      <c r="E198" s="4">
        <f t="shared" si="21"/>
        <v>0</v>
      </c>
      <c r="F198" s="4">
        <f t="shared" si="20"/>
        <v>4.9671590570422104E-4</v>
      </c>
      <c r="G198" s="4">
        <f t="shared" si="23"/>
        <v>9.9343181140844274E-4</v>
      </c>
      <c r="H198" s="4">
        <f t="shared" si="23"/>
        <v>1.3004191238863384E-3</v>
      </c>
      <c r="I198" s="4">
        <f t="shared" si="23"/>
        <v>1.607406436364236E-3</v>
      </c>
      <c r="J198" s="4">
        <f t="shared" si="23"/>
        <v>1.6074064363642349E-3</v>
      </c>
      <c r="K198" s="4">
        <f t="shared" si="23"/>
        <v>1.607406436364236E-3</v>
      </c>
      <c r="L198" s="4">
        <f t="shared" si="23"/>
        <v>1.3004191238863384E-3</v>
      </c>
      <c r="M198" s="4">
        <f t="shared" si="23"/>
        <v>9.9343181140844274E-4</v>
      </c>
      <c r="N198" s="4">
        <f t="shared" si="23"/>
        <v>4.9671590570422104E-4</v>
      </c>
      <c r="O198">
        <f t="shared" si="22"/>
        <v>0</v>
      </c>
    </row>
    <row r="199" spans="3:15" x14ac:dyDescent="0.35">
      <c r="C199">
        <v>188</v>
      </c>
      <c r="D199" s="4">
        <v>914.97344000000305</v>
      </c>
      <c r="E199" s="4">
        <f t="shared" si="21"/>
        <v>0</v>
      </c>
      <c r="F199" s="4">
        <f t="shared" si="20"/>
        <v>4.9671590570422137E-4</v>
      </c>
      <c r="G199" s="4">
        <f t="shared" si="23"/>
        <v>8.9856751479527972E-4</v>
      </c>
      <c r="H199" s="4">
        <f t="shared" si="23"/>
        <v>1.3004191238863393E-3</v>
      </c>
      <c r="I199" s="4">
        <f t="shared" si="23"/>
        <v>1.4539127801252868E-3</v>
      </c>
      <c r="J199" s="4">
        <f t="shared" si="23"/>
        <v>1.607406436364236E-3</v>
      </c>
      <c r="K199" s="4">
        <f t="shared" si="23"/>
        <v>1.4539127801252868E-3</v>
      </c>
      <c r="L199" s="4">
        <f t="shared" si="23"/>
        <v>1.3004191238863393E-3</v>
      </c>
      <c r="M199" s="4">
        <f t="shared" si="23"/>
        <v>8.9856751479527972E-4</v>
      </c>
      <c r="N199" s="4">
        <f t="shared" si="23"/>
        <v>4.9671590570422137E-4</v>
      </c>
      <c r="O199">
        <f t="shared" si="22"/>
        <v>0</v>
      </c>
    </row>
    <row r="200" spans="3:15" x14ac:dyDescent="0.35">
      <c r="C200">
        <v>189</v>
      </c>
      <c r="D200" s="4">
        <v>919.84032000000298</v>
      </c>
      <c r="E200" s="4">
        <f t="shared" si="21"/>
        <v>0</v>
      </c>
      <c r="F200" s="4">
        <f t="shared" si="20"/>
        <v>4.4928375739763986E-4</v>
      </c>
      <c r="G200" s="4">
        <f t="shared" si="23"/>
        <v>8.9856751479528026E-4</v>
      </c>
      <c r="H200" s="4">
        <f t="shared" si="23"/>
        <v>1.1762401474602832E-3</v>
      </c>
      <c r="I200" s="4">
        <f t="shared" si="23"/>
        <v>1.4539127801252876E-3</v>
      </c>
      <c r="J200" s="4">
        <f t="shared" si="23"/>
        <v>1.4539127801252868E-3</v>
      </c>
      <c r="K200" s="4">
        <f t="shared" si="23"/>
        <v>1.4539127801252876E-3</v>
      </c>
      <c r="L200" s="4">
        <f t="shared" si="23"/>
        <v>1.1762401474602832E-3</v>
      </c>
      <c r="M200" s="4">
        <f t="shared" si="23"/>
        <v>8.9856751479528026E-4</v>
      </c>
      <c r="N200" s="4">
        <f t="shared" si="23"/>
        <v>4.4928375739763986E-4</v>
      </c>
      <c r="O200">
        <f t="shared" si="22"/>
        <v>0</v>
      </c>
    </row>
    <row r="201" spans="3:15" x14ac:dyDescent="0.35">
      <c r="C201">
        <v>190</v>
      </c>
      <c r="D201" s="4">
        <v>924.70720000000301</v>
      </c>
      <c r="E201" s="4">
        <f t="shared" si="21"/>
        <v>0</v>
      </c>
      <c r="F201" s="4">
        <f t="shared" si="20"/>
        <v>4.4928375739764013E-4</v>
      </c>
      <c r="G201" s="4">
        <f t="shared" si="23"/>
        <v>8.127619524289615E-4</v>
      </c>
      <c r="H201" s="4">
        <f t="shared" si="23"/>
        <v>1.1762401474602838E-3</v>
      </c>
      <c r="I201" s="4">
        <f t="shared" si="23"/>
        <v>1.3150764637927851E-3</v>
      </c>
      <c r="J201" s="4">
        <f t="shared" si="23"/>
        <v>1.4539127801252876E-3</v>
      </c>
      <c r="K201" s="4">
        <f t="shared" si="23"/>
        <v>1.3150764637927851E-3</v>
      </c>
      <c r="L201" s="4">
        <f t="shared" si="23"/>
        <v>1.1762401474602838E-3</v>
      </c>
      <c r="M201" s="4">
        <f t="shared" si="23"/>
        <v>8.127619524289615E-4</v>
      </c>
      <c r="N201" s="4">
        <f t="shared" si="23"/>
        <v>4.4928375739764013E-4</v>
      </c>
      <c r="O201">
        <f t="shared" si="22"/>
        <v>0</v>
      </c>
    </row>
    <row r="202" spans="3:15" x14ac:dyDescent="0.35">
      <c r="C202">
        <v>191</v>
      </c>
      <c r="D202" s="4">
        <v>929.57408000000305</v>
      </c>
      <c r="E202" s="4">
        <f t="shared" si="21"/>
        <v>0</v>
      </c>
      <c r="F202" s="4">
        <f t="shared" si="20"/>
        <v>4.0638097621448075E-4</v>
      </c>
      <c r="G202" s="4">
        <f t="shared" si="23"/>
        <v>8.1276195242896204E-4</v>
      </c>
      <c r="H202" s="4">
        <f t="shared" si="23"/>
        <v>1.0639192081108733E-3</v>
      </c>
      <c r="I202" s="4">
        <f t="shared" si="23"/>
        <v>1.3150764637927857E-3</v>
      </c>
      <c r="J202" s="4">
        <f t="shared" si="23"/>
        <v>1.3150764637927851E-3</v>
      </c>
      <c r="K202" s="4">
        <f t="shared" si="23"/>
        <v>1.3150764637927857E-3</v>
      </c>
      <c r="L202" s="4">
        <f t="shared" si="23"/>
        <v>1.0639192081108733E-3</v>
      </c>
      <c r="M202" s="4">
        <f t="shared" si="23"/>
        <v>8.1276195242896204E-4</v>
      </c>
      <c r="N202" s="4">
        <f t="shared" si="23"/>
        <v>4.0638097621448075E-4</v>
      </c>
      <c r="O202">
        <f t="shared" si="22"/>
        <v>0</v>
      </c>
    </row>
    <row r="203" spans="3:15" x14ac:dyDescent="0.35">
      <c r="C203">
        <v>192</v>
      </c>
      <c r="D203" s="4">
        <v>934.44096000000297</v>
      </c>
      <c r="E203" s="4">
        <f t="shared" si="21"/>
        <v>0</v>
      </c>
      <c r="F203" s="4">
        <f t="shared" si="20"/>
        <v>4.0638097621448102E-4</v>
      </c>
      <c r="G203" s="4">
        <f t="shared" si="23"/>
        <v>7.3515009216267707E-4</v>
      </c>
      <c r="H203" s="4">
        <f t="shared" si="23"/>
        <v>1.063919208110874E-3</v>
      </c>
      <c r="I203" s="4">
        <f t="shared" si="23"/>
        <v>1.1894978359518293E-3</v>
      </c>
      <c r="J203" s="4">
        <f t="shared" si="23"/>
        <v>1.3150764637927857E-3</v>
      </c>
      <c r="K203" s="4">
        <f t="shared" si="23"/>
        <v>1.1894978359518293E-3</v>
      </c>
      <c r="L203" s="4">
        <f t="shared" si="23"/>
        <v>1.063919208110874E-3</v>
      </c>
      <c r="M203" s="4">
        <f t="shared" si="23"/>
        <v>7.3515009216267707E-4</v>
      </c>
      <c r="N203" s="4">
        <f t="shared" si="23"/>
        <v>4.0638097621448102E-4</v>
      </c>
      <c r="O203">
        <f t="shared" si="22"/>
        <v>0</v>
      </c>
    </row>
    <row r="204" spans="3:15" x14ac:dyDescent="0.35">
      <c r="C204">
        <v>193</v>
      </c>
      <c r="D204" s="4">
        <v>939.30784000000301</v>
      </c>
      <c r="E204" s="4">
        <f t="shared" si="21"/>
        <v>0</v>
      </c>
      <c r="F204" s="4">
        <f t="shared" si="20"/>
        <v>3.6757504608133854E-4</v>
      </c>
      <c r="G204" s="4">
        <f t="shared" si="23"/>
        <v>7.3515009216267751E-4</v>
      </c>
      <c r="H204" s="4">
        <f t="shared" si="23"/>
        <v>9.6232396405725325E-4</v>
      </c>
      <c r="I204" s="4">
        <f t="shared" si="23"/>
        <v>1.1894978359518298E-3</v>
      </c>
      <c r="J204" s="4">
        <f t="shared" si="23"/>
        <v>1.1894978359518293E-3</v>
      </c>
      <c r="K204" s="4">
        <f t="shared" si="23"/>
        <v>1.1894978359518298E-3</v>
      </c>
      <c r="L204" s="4">
        <f t="shared" si="23"/>
        <v>9.6232396405725325E-4</v>
      </c>
      <c r="M204" s="4">
        <f t="shared" si="23"/>
        <v>7.3515009216267751E-4</v>
      </c>
      <c r="N204" s="4">
        <f t="shared" si="23"/>
        <v>3.6757504608133854E-4</v>
      </c>
      <c r="O204">
        <f t="shared" si="22"/>
        <v>0</v>
      </c>
    </row>
    <row r="205" spans="3:15" x14ac:dyDescent="0.35">
      <c r="C205">
        <v>194</v>
      </c>
      <c r="D205" s="4">
        <v>944.17472000000305</v>
      </c>
      <c r="E205" s="4">
        <f t="shared" si="21"/>
        <v>0</v>
      </c>
      <c r="F205" s="4">
        <f t="shared" si="20"/>
        <v>3.6757504608133875E-4</v>
      </c>
      <c r="G205" s="4">
        <f t="shared" si="23"/>
        <v>6.6494950506929592E-4</v>
      </c>
      <c r="H205" s="4">
        <f t="shared" si="23"/>
        <v>9.6232396405725369E-4</v>
      </c>
      <c r="I205" s="4">
        <f t="shared" si="23"/>
        <v>1.0759109000045412E-3</v>
      </c>
      <c r="J205" s="4">
        <f t="shared" si="23"/>
        <v>1.1894978359518298E-3</v>
      </c>
      <c r="K205" s="4">
        <f t="shared" si="23"/>
        <v>1.0759109000045412E-3</v>
      </c>
      <c r="L205" s="4">
        <f t="shared" si="23"/>
        <v>9.6232396405725369E-4</v>
      </c>
      <c r="M205" s="4">
        <f t="shared" si="23"/>
        <v>6.6494950506929592E-4</v>
      </c>
      <c r="N205" s="4">
        <f t="shared" si="23"/>
        <v>3.6757504608133875E-4</v>
      </c>
      <c r="O205">
        <f t="shared" si="22"/>
        <v>0</v>
      </c>
    </row>
    <row r="206" spans="3:15" x14ac:dyDescent="0.35">
      <c r="C206">
        <v>195</v>
      </c>
      <c r="D206" s="4">
        <v>949.04160000000297</v>
      </c>
      <c r="E206" s="4">
        <f t="shared" si="21"/>
        <v>0</v>
      </c>
      <c r="F206" s="4">
        <f t="shared" si="20"/>
        <v>3.3247475253464796E-4</v>
      </c>
      <c r="G206" s="4">
        <f t="shared" si="23"/>
        <v>6.6494950506929625E-4</v>
      </c>
      <c r="H206" s="4">
        <f t="shared" si="23"/>
        <v>8.7043020253691861E-4</v>
      </c>
      <c r="I206" s="4">
        <f t="shared" si="23"/>
        <v>1.0759109000045416E-3</v>
      </c>
      <c r="J206" s="4">
        <f t="shared" si="23"/>
        <v>1.0759109000045412E-3</v>
      </c>
      <c r="K206" s="4">
        <f t="shared" si="23"/>
        <v>1.0759109000045416E-3</v>
      </c>
      <c r="L206" s="4">
        <f t="shared" si="23"/>
        <v>8.7043020253691861E-4</v>
      </c>
      <c r="M206" s="4">
        <f t="shared" si="23"/>
        <v>6.6494950506929625E-4</v>
      </c>
      <c r="N206" s="4">
        <f t="shared" si="23"/>
        <v>3.3247475253464796E-4</v>
      </c>
      <c r="O206">
        <f t="shared" si="22"/>
        <v>0</v>
      </c>
    </row>
    <row r="207" spans="3:15" x14ac:dyDescent="0.35">
      <c r="C207">
        <v>196</v>
      </c>
      <c r="D207" s="4">
        <v>953.90848000000301</v>
      </c>
      <c r="E207" s="4">
        <f t="shared" si="21"/>
        <v>0</v>
      </c>
      <c r="F207" s="4">
        <f t="shared" si="20"/>
        <v>3.3247475253464812E-4</v>
      </c>
      <c r="G207" s="4">
        <f t="shared" si="23"/>
        <v>6.0145247753578331E-4</v>
      </c>
      <c r="H207" s="4">
        <f t="shared" si="23"/>
        <v>8.7043020253691893E-4</v>
      </c>
      <c r="I207" s="4">
        <f t="shared" si="23"/>
        <v>9.7317055127072989E-4</v>
      </c>
      <c r="J207" s="4">
        <f t="shared" si="23"/>
        <v>1.0759109000045416E-3</v>
      </c>
      <c r="K207" s="4">
        <f t="shared" si="23"/>
        <v>9.7317055127072989E-4</v>
      </c>
      <c r="L207" s="4">
        <f t="shared" si="23"/>
        <v>8.7043020253691893E-4</v>
      </c>
      <c r="M207" s="4">
        <f t="shared" si="23"/>
        <v>6.0145247753578331E-4</v>
      </c>
      <c r="N207" s="4">
        <f t="shared" si="23"/>
        <v>3.3247475253464812E-4</v>
      </c>
      <c r="O207">
        <f t="shared" si="22"/>
        <v>0</v>
      </c>
    </row>
    <row r="208" spans="3:15" x14ac:dyDescent="0.35">
      <c r="C208">
        <v>197</v>
      </c>
      <c r="D208" s="4">
        <v>958.77536000000305</v>
      </c>
      <c r="E208" s="4">
        <f t="shared" si="21"/>
        <v>0</v>
      </c>
      <c r="F208" s="4">
        <f t="shared" si="20"/>
        <v>3.0072623876789166E-4</v>
      </c>
      <c r="G208" s="4">
        <f t="shared" si="23"/>
        <v>6.0145247753578353E-4</v>
      </c>
      <c r="H208" s="4">
        <f t="shared" si="23"/>
        <v>7.873115144032566E-4</v>
      </c>
      <c r="I208" s="4">
        <f t="shared" si="23"/>
        <v>9.7317055127073022E-4</v>
      </c>
      <c r="J208" s="4">
        <f t="shared" si="23"/>
        <v>9.7317055127072989E-4</v>
      </c>
      <c r="K208" s="4">
        <f t="shared" si="23"/>
        <v>9.7317055127073022E-4</v>
      </c>
      <c r="L208" s="4">
        <f t="shared" si="23"/>
        <v>7.873115144032566E-4</v>
      </c>
      <c r="M208" s="4">
        <f t="shared" si="23"/>
        <v>6.0145247753578353E-4</v>
      </c>
      <c r="N208" s="4">
        <f t="shared" si="23"/>
        <v>3.0072623876789166E-4</v>
      </c>
      <c r="O208">
        <f t="shared" si="22"/>
        <v>0</v>
      </c>
    </row>
    <row r="209" spans="3:15" x14ac:dyDescent="0.35">
      <c r="C209">
        <v>198</v>
      </c>
      <c r="D209" s="4">
        <v>963.64224000000297</v>
      </c>
      <c r="E209" s="4">
        <f t="shared" si="21"/>
        <v>0</v>
      </c>
      <c r="F209" s="4">
        <f t="shared" si="20"/>
        <v>3.0072623876789176E-4</v>
      </c>
      <c r="G209" s="4">
        <f t="shared" si="23"/>
        <v>5.4401887658557416E-4</v>
      </c>
      <c r="H209" s="4">
        <f t="shared" si="23"/>
        <v>7.8731151440325693E-4</v>
      </c>
      <c r="I209" s="4">
        <f t="shared" si="23"/>
        <v>8.8024103283699325E-4</v>
      </c>
      <c r="J209" s="4">
        <f t="shared" si="23"/>
        <v>9.7317055127073022E-4</v>
      </c>
      <c r="K209" s="4">
        <f t="shared" si="23"/>
        <v>8.8024103283699325E-4</v>
      </c>
      <c r="L209" s="4">
        <f t="shared" si="23"/>
        <v>7.8731151440325693E-4</v>
      </c>
      <c r="M209" s="4">
        <f t="shared" si="23"/>
        <v>5.4401887658557416E-4</v>
      </c>
      <c r="N209" s="4">
        <f t="shared" si="23"/>
        <v>3.0072623876789176E-4</v>
      </c>
      <c r="O209">
        <f t="shared" si="22"/>
        <v>0</v>
      </c>
    </row>
    <row r="210" spans="3:15" x14ac:dyDescent="0.35">
      <c r="C210">
        <v>199</v>
      </c>
      <c r="D210" s="4">
        <v>968.50912000000301</v>
      </c>
      <c r="E210" s="4">
        <f t="shared" si="21"/>
        <v>0</v>
      </c>
      <c r="F210" s="4">
        <f t="shared" si="20"/>
        <v>2.7200943829278708E-4</v>
      </c>
      <c r="G210" s="4">
        <f t="shared" si="23"/>
        <v>5.4401887658557437E-4</v>
      </c>
      <c r="H210" s="4">
        <f t="shared" si="23"/>
        <v>7.121299547112837E-4</v>
      </c>
      <c r="I210" s="4">
        <f t="shared" si="23"/>
        <v>8.8024103283699357E-4</v>
      </c>
      <c r="J210" s="4">
        <f t="shared" si="23"/>
        <v>8.8024103283699325E-4</v>
      </c>
      <c r="K210" s="4">
        <f t="shared" si="23"/>
        <v>8.8024103283699357E-4</v>
      </c>
      <c r="L210" s="4">
        <f t="shared" si="23"/>
        <v>7.121299547112837E-4</v>
      </c>
      <c r="M210" s="4">
        <f t="shared" si="23"/>
        <v>5.4401887658557437E-4</v>
      </c>
      <c r="N210" s="4">
        <f t="shared" si="23"/>
        <v>2.7200943829278708E-4</v>
      </c>
      <c r="O210">
        <f t="shared" si="22"/>
        <v>0</v>
      </c>
    </row>
    <row r="211" spans="3:15" x14ac:dyDescent="0.35">
      <c r="C211">
        <v>200</v>
      </c>
      <c r="D211" s="4">
        <v>973.37600000000305</v>
      </c>
      <c r="E211" s="4">
        <f t="shared" si="21"/>
        <v>0</v>
      </c>
      <c r="F211" s="4">
        <f t="shared" si="20"/>
        <v>2.7200943829278719E-4</v>
      </c>
      <c r="G211" s="4">
        <f t="shared" si="23"/>
        <v>4.9206969650203544E-4</v>
      </c>
      <c r="H211" s="4">
        <f t="shared" si="23"/>
        <v>7.1212995471128392E-4</v>
      </c>
      <c r="I211" s="4">
        <f t="shared" si="23"/>
        <v>7.9618549377413847E-4</v>
      </c>
      <c r="J211" s="4">
        <f t="shared" si="23"/>
        <v>8.8024103283699357E-4</v>
      </c>
      <c r="K211" s="4">
        <f t="shared" si="23"/>
        <v>7.9618549377413847E-4</v>
      </c>
      <c r="L211" s="4">
        <f t="shared" si="23"/>
        <v>7.1212995471128392E-4</v>
      </c>
      <c r="M211" s="4">
        <f t="shared" si="23"/>
        <v>4.9206969650203544E-4</v>
      </c>
      <c r="N211" s="4">
        <f t="shared" si="23"/>
        <v>2.7200943829278719E-4</v>
      </c>
      <c r="O211">
        <f t="shared" si="22"/>
        <v>0</v>
      </c>
    </row>
    <row r="212" spans="3:15" x14ac:dyDescent="0.35">
      <c r="C212">
        <v>201</v>
      </c>
      <c r="D212" s="4">
        <v>978.24288000000297</v>
      </c>
      <c r="E212" s="4">
        <f t="shared" si="21"/>
        <v>0</v>
      </c>
      <c r="F212" s="4">
        <f t="shared" si="20"/>
        <v>2.4603484825101772E-4</v>
      </c>
      <c r="G212" s="4">
        <f t="shared" si="23"/>
        <v>4.9206969650203555E-4</v>
      </c>
      <c r="H212" s="4">
        <f t="shared" si="23"/>
        <v>6.4412759513808701E-4</v>
      </c>
      <c r="I212" s="4">
        <f t="shared" si="23"/>
        <v>7.961854937741388E-4</v>
      </c>
      <c r="J212" s="4">
        <f t="shared" si="23"/>
        <v>7.9618549377413847E-4</v>
      </c>
      <c r="K212" s="4">
        <f t="shared" si="23"/>
        <v>7.961854937741388E-4</v>
      </c>
      <c r="L212" s="4">
        <f t="shared" si="23"/>
        <v>6.4412759513808701E-4</v>
      </c>
      <c r="M212" s="4">
        <f t="shared" si="23"/>
        <v>4.9206969650203555E-4</v>
      </c>
      <c r="N212" s="4">
        <f t="shared" si="23"/>
        <v>2.4603484825101772E-4</v>
      </c>
      <c r="O212">
        <f t="shared" si="22"/>
        <v>0</v>
      </c>
    </row>
    <row r="213" spans="3:15" x14ac:dyDescent="0.35">
      <c r="C213">
        <v>202</v>
      </c>
      <c r="D213" s="4">
        <v>983.10976000000301</v>
      </c>
      <c r="E213" s="4">
        <f t="shared" si="21"/>
        <v>0</v>
      </c>
      <c r="F213" s="4">
        <f t="shared" si="20"/>
        <v>2.4603484825101778E-4</v>
      </c>
      <c r="G213" s="4">
        <f t="shared" si="23"/>
        <v>4.4508122169455237E-4</v>
      </c>
      <c r="H213" s="4">
        <f t="shared" si="23"/>
        <v>6.4412759513808723E-4</v>
      </c>
      <c r="I213" s="4">
        <f t="shared" si="23"/>
        <v>7.201565444561128E-4</v>
      </c>
      <c r="J213" s="4">
        <f t="shared" si="23"/>
        <v>7.961854937741388E-4</v>
      </c>
      <c r="K213" s="4">
        <f t="shared" si="23"/>
        <v>7.201565444561128E-4</v>
      </c>
      <c r="L213" s="4">
        <f t="shared" si="23"/>
        <v>6.4412759513808723E-4</v>
      </c>
      <c r="M213" s="4">
        <f t="shared" si="23"/>
        <v>4.4508122169455237E-4</v>
      </c>
      <c r="N213" s="4">
        <f t="shared" si="23"/>
        <v>2.4603484825101778E-4</v>
      </c>
      <c r="O213">
        <f t="shared" si="22"/>
        <v>0</v>
      </c>
    </row>
    <row r="214" spans="3:15" x14ac:dyDescent="0.35">
      <c r="C214">
        <v>203</v>
      </c>
      <c r="D214" s="4">
        <v>987.97664000000304</v>
      </c>
      <c r="E214" s="4">
        <f t="shared" si="21"/>
        <v>0</v>
      </c>
      <c r="F214" s="4">
        <f t="shared" si="20"/>
        <v>2.2254061084727618E-4</v>
      </c>
      <c r="G214" s="4">
        <f t="shared" si="23"/>
        <v>4.4508122169455253E-4</v>
      </c>
      <c r="H214" s="4">
        <f t="shared" si="23"/>
        <v>5.8261888307533261E-4</v>
      </c>
      <c r="I214" s="4">
        <f t="shared" si="23"/>
        <v>7.2015654445611301E-4</v>
      </c>
      <c r="J214" s="4">
        <f t="shared" si="23"/>
        <v>7.201565444561128E-4</v>
      </c>
      <c r="K214" s="4">
        <f t="shared" si="23"/>
        <v>7.2015654445611301E-4</v>
      </c>
      <c r="L214" s="4">
        <f t="shared" si="23"/>
        <v>5.8261888307533261E-4</v>
      </c>
      <c r="M214" s="4">
        <f t="shared" si="23"/>
        <v>4.4508122169455253E-4</v>
      </c>
      <c r="N214" s="4">
        <f t="shared" si="23"/>
        <v>2.2254061084727618E-4</v>
      </c>
      <c r="O214">
        <f t="shared" si="22"/>
        <v>0</v>
      </c>
    </row>
    <row r="215" spans="3:15" x14ac:dyDescent="0.35">
      <c r="C215">
        <v>204</v>
      </c>
      <c r="D215" s="4">
        <v>992.84352000000297</v>
      </c>
      <c r="E215" s="4">
        <f t="shared" si="21"/>
        <v>0</v>
      </c>
      <c r="F215" s="4">
        <f t="shared" si="20"/>
        <v>2.2254061084727627E-4</v>
      </c>
      <c r="G215" s="4">
        <f t="shared" si="23"/>
        <v>4.0257974696130441E-4</v>
      </c>
      <c r="H215" s="4">
        <f t="shared" si="23"/>
        <v>5.8261888307533272E-4</v>
      </c>
      <c r="I215" s="4">
        <f t="shared" si="23"/>
        <v>6.5138771376572276E-4</v>
      </c>
      <c r="J215" s="4">
        <f t="shared" si="23"/>
        <v>7.2015654445611301E-4</v>
      </c>
      <c r="K215" s="4">
        <f t="shared" si="23"/>
        <v>6.5138771376572276E-4</v>
      </c>
      <c r="L215" s="4">
        <f t="shared" si="23"/>
        <v>5.8261888307533272E-4</v>
      </c>
      <c r="M215" s="4">
        <f t="shared" si="23"/>
        <v>4.0257974696130441E-4</v>
      </c>
      <c r="N215" s="4">
        <f t="shared" si="23"/>
        <v>2.2254061084727627E-4</v>
      </c>
      <c r="O215">
        <f t="shared" si="22"/>
        <v>0</v>
      </c>
    </row>
    <row r="216" spans="3:15" x14ac:dyDescent="0.35">
      <c r="C216">
        <v>205</v>
      </c>
      <c r="D216" s="4">
        <v>997.71040000000301</v>
      </c>
      <c r="E216" s="4">
        <f t="shared" si="21"/>
        <v>0</v>
      </c>
      <c r="F216" s="4">
        <f t="shared" si="20"/>
        <v>2.0128987348065221E-4</v>
      </c>
      <c r="G216" s="4">
        <f t="shared" si="23"/>
        <v>4.0257974696130446E-4</v>
      </c>
      <c r="H216" s="4">
        <f t="shared" si="23"/>
        <v>5.2698373036351356E-4</v>
      </c>
      <c r="I216" s="4">
        <f t="shared" si="23"/>
        <v>6.5138771376572287E-4</v>
      </c>
      <c r="J216" s="4">
        <f t="shared" si="23"/>
        <v>6.5138771376572276E-4</v>
      </c>
      <c r="K216" s="4">
        <f t="shared" si="23"/>
        <v>6.5138771376572287E-4</v>
      </c>
      <c r="L216" s="4">
        <f t="shared" si="23"/>
        <v>5.2698373036351356E-4</v>
      </c>
      <c r="M216" s="4">
        <f t="shared" si="23"/>
        <v>4.0257974696130446E-4</v>
      </c>
      <c r="N216" s="4">
        <f t="shared" si="23"/>
        <v>2.0128987348065221E-4</v>
      </c>
      <c r="O216">
        <f t="shared" si="22"/>
        <v>0</v>
      </c>
    </row>
    <row r="217" spans="3:15" x14ac:dyDescent="0.35">
      <c r="C217">
        <v>206</v>
      </c>
      <c r="D217" s="4">
        <v>1002.57728</v>
      </c>
      <c r="E217" s="4">
        <f t="shared" si="21"/>
        <v>0</v>
      </c>
      <c r="F217" s="4">
        <f t="shared" si="20"/>
        <v>2.0128987348065223E-4</v>
      </c>
      <c r="G217" s="4">
        <f t="shared" si="23"/>
        <v>3.6413680192208287E-4</v>
      </c>
      <c r="H217" s="4">
        <f t="shared" si="23"/>
        <v>5.2698373036351367E-4</v>
      </c>
      <c r="I217" s="4">
        <f t="shared" si="23"/>
        <v>5.8918572206461816E-4</v>
      </c>
      <c r="J217" s="4">
        <f t="shared" si="23"/>
        <v>6.5138771376572287E-4</v>
      </c>
      <c r="K217" s="4">
        <f t="shared" si="23"/>
        <v>5.8918572206461816E-4</v>
      </c>
      <c r="L217" s="4">
        <f t="shared" si="23"/>
        <v>5.2698373036351367E-4</v>
      </c>
      <c r="M217" s="4">
        <f t="shared" si="23"/>
        <v>3.6413680192208287E-4</v>
      </c>
      <c r="N217" s="4">
        <f t="shared" si="23"/>
        <v>2.0128987348065223E-4</v>
      </c>
      <c r="O217">
        <f t="shared" si="22"/>
        <v>0</v>
      </c>
    </row>
    <row r="218" spans="3:15" x14ac:dyDescent="0.35">
      <c r="C218">
        <v>207</v>
      </c>
      <c r="D218" s="4">
        <v>1007.44416</v>
      </c>
      <c r="E218" s="4">
        <f t="shared" si="21"/>
        <v>0</v>
      </c>
      <c r="F218" s="4">
        <f t="shared" si="20"/>
        <v>1.8206840096104143E-4</v>
      </c>
      <c r="G218" s="4">
        <f t="shared" si="23"/>
        <v>3.6413680192208292E-4</v>
      </c>
      <c r="H218" s="4">
        <f t="shared" si="23"/>
        <v>4.7666126199335049E-4</v>
      </c>
      <c r="I218" s="4">
        <f t="shared" si="23"/>
        <v>5.8918572206461827E-4</v>
      </c>
      <c r="J218" s="4">
        <f t="shared" si="23"/>
        <v>5.8918572206461816E-4</v>
      </c>
      <c r="K218" s="4">
        <f t="shared" si="23"/>
        <v>5.8918572206461827E-4</v>
      </c>
      <c r="L218" s="4">
        <f t="shared" si="23"/>
        <v>4.7666126199335049E-4</v>
      </c>
      <c r="M218" s="4">
        <f t="shared" si="23"/>
        <v>3.6413680192208292E-4</v>
      </c>
      <c r="N218" s="4">
        <f t="shared" si="23"/>
        <v>1.8206840096104143E-4</v>
      </c>
      <c r="O218">
        <f t="shared" si="22"/>
        <v>0</v>
      </c>
    </row>
    <row r="219" spans="3:15" x14ac:dyDescent="0.35">
      <c r="C219">
        <v>208</v>
      </c>
      <c r="D219" s="4">
        <v>1012.31104</v>
      </c>
      <c r="E219" s="4">
        <f t="shared" si="21"/>
        <v>0</v>
      </c>
      <c r="F219" s="4">
        <f t="shared" si="20"/>
        <v>1.8206840096104146E-4</v>
      </c>
      <c r="G219" s="4">
        <f t="shared" si="23"/>
        <v>3.2936483147719597E-4</v>
      </c>
      <c r="H219" s="4">
        <f t="shared" si="23"/>
        <v>4.7666126199335059E-4</v>
      </c>
      <c r="I219" s="4">
        <f t="shared" si="23"/>
        <v>5.3292349202898432E-4</v>
      </c>
      <c r="J219" s="4">
        <f t="shared" si="23"/>
        <v>5.8918572206461827E-4</v>
      </c>
      <c r="K219" s="4">
        <f t="shared" si="23"/>
        <v>5.3292349202898432E-4</v>
      </c>
      <c r="L219" s="4">
        <f t="shared" si="23"/>
        <v>4.7666126199335059E-4</v>
      </c>
      <c r="M219" s="4">
        <f t="shared" si="23"/>
        <v>3.2936483147719597E-4</v>
      </c>
      <c r="N219" s="4">
        <f t="shared" si="23"/>
        <v>1.8206840096104146E-4</v>
      </c>
      <c r="O219">
        <f t="shared" si="22"/>
        <v>0</v>
      </c>
    </row>
    <row r="220" spans="3:15" x14ac:dyDescent="0.35">
      <c r="C220">
        <v>209</v>
      </c>
      <c r="D220" s="4">
        <v>1017.17792</v>
      </c>
      <c r="E220" s="4">
        <f t="shared" si="21"/>
        <v>0</v>
      </c>
      <c r="F220" s="4">
        <f t="shared" si="20"/>
        <v>1.6468241573859799E-4</v>
      </c>
      <c r="G220" s="4">
        <f t="shared" si="23"/>
        <v>3.2936483147719603E-4</v>
      </c>
      <c r="H220" s="4">
        <f t="shared" si="23"/>
        <v>4.3114416175309015E-4</v>
      </c>
      <c r="I220" s="4">
        <f t="shared" si="23"/>
        <v>5.3292349202898443E-4</v>
      </c>
      <c r="J220" s="4">
        <f t="shared" si="23"/>
        <v>5.3292349202898432E-4</v>
      </c>
      <c r="K220" s="4">
        <f t="shared" si="23"/>
        <v>5.3292349202898443E-4</v>
      </c>
      <c r="L220" s="4">
        <f t="shared" si="23"/>
        <v>4.3114416175309015E-4</v>
      </c>
      <c r="M220" s="4">
        <f t="shared" si="23"/>
        <v>3.2936483147719603E-4</v>
      </c>
      <c r="N220" s="4">
        <f t="shared" si="23"/>
        <v>1.6468241573859799E-4</v>
      </c>
      <c r="O220">
        <f t="shared" si="22"/>
        <v>0</v>
      </c>
    </row>
    <row r="221" spans="3:15" x14ac:dyDescent="0.35">
      <c r="C221">
        <v>210</v>
      </c>
      <c r="D221" s="4">
        <v>1022.0448</v>
      </c>
      <c r="E221" s="4">
        <f t="shared" si="21"/>
        <v>0</v>
      </c>
      <c r="F221" s="4">
        <f t="shared" si="20"/>
        <v>1.6468241573859801E-4</v>
      </c>
      <c r="G221" s="4">
        <f t="shared" si="23"/>
        <v>2.9791328874584409E-4</v>
      </c>
      <c r="H221" s="4">
        <f t="shared" si="23"/>
        <v>4.3114416175309026E-4</v>
      </c>
      <c r="I221" s="4">
        <f t="shared" si="23"/>
        <v>4.8203382689103723E-4</v>
      </c>
      <c r="J221" s="4">
        <f t="shared" si="23"/>
        <v>5.3292349202898443E-4</v>
      </c>
      <c r="K221" s="4">
        <f t="shared" si="23"/>
        <v>4.8203382689103723E-4</v>
      </c>
      <c r="L221" s="4">
        <f t="shared" si="23"/>
        <v>4.3114416175309026E-4</v>
      </c>
      <c r="M221" s="4">
        <f t="shared" si="23"/>
        <v>2.9791328874584409E-4</v>
      </c>
      <c r="N221" s="4">
        <f t="shared" si="23"/>
        <v>1.6468241573859801E-4</v>
      </c>
      <c r="O221">
        <f t="shared" si="22"/>
        <v>0</v>
      </c>
    </row>
    <row r="222" spans="3:15" x14ac:dyDescent="0.35">
      <c r="C222" s="9">
        <v>211</v>
      </c>
      <c r="D222" s="10">
        <v>1026.9116799999999</v>
      </c>
      <c r="E222" s="10">
        <f t="shared" si="21"/>
        <v>0</v>
      </c>
      <c r="F222" s="10">
        <f t="shared" si="20"/>
        <v>1.4895664437292205E-4</v>
      </c>
      <c r="G222" s="10">
        <f t="shared" si="23"/>
        <v>2.9791328874584415E-4</v>
      </c>
      <c r="H222" s="10">
        <f t="shared" si="23"/>
        <v>3.8997355781844069E-4</v>
      </c>
      <c r="I222" s="10">
        <f t="shared" si="23"/>
        <v>4.8203382689103734E-4</v>
      </c>
      <c r="J222" s="10">
        <f t="shared" si="23"/>
        <v>4.8203382689103723E-4</v>
      </c>
      <c r="K222" s="10">
        <f t="shared" si="23"/>
        <v>4.8203382689103734E-4</v>
      </c>
      <c r="L222" s="10">
        <f t="shared" si="23"/>
        <v>3.8997355781844069E-4</v>
      </c>
      <c r="M222" s="10">
        <f t="shared" si="23"/>
        <v>2.9791328874584415E-4</v>
      </c>
      <c r="N222" s="10">
        <f t="shared" si="23"/>
        <v>1.4895664437292205E-4</v>
      </c>
      <c r="O222" s="9">
        <f t="shared" si="22"/>
        <v>0</v>
      </c>
    </row>
    <row r="223" spans="3:15" x14ac:dyDescent="0.35">
      <c r="C223">
        <v>212</v>
      </c>
      <c r="D223" s="4">
        <v>1031.77856</v>
      </c>
      <c r="E223" s="4">
        <f t="shared" si="21"/>
        <v>0</v>
      </c>
      <c r="F223" s="4">
        <f t="shared" si="20"/>
        <v>1.4895664437292207E-4</v>
      </c>
      <c r="G223" s="4">
        <f t="shared" si="23"/>
        <v>2.694651010956814E-4</v>
      </c>
      <c r="H223" s="4">
        <f t="shared" si="23"/>
        <v>3.8997355781844075E-4</v>
      </c>
      <c r="I223" s="4">
        <f t="shared" si="23"/>
        <v>4.3600369235473899E-4</v>
      </c>
      <c r="J223" s="4">
        <f t="shared" si="23"/>
        <v>4.8203382689103734E-4</v>
      </c>
      <c r="K223" s="4">
        <f t="shared" si="23"/>
        <v>4.3600369235473899E-4</v>
      </c>
      <c r="L223" s="4">
        <f t="shared" si="23"/>
        <v>3.8997355781844075E-4</v>
      </c>
      <c r="M223" s="4">
        <f t="shared" si="23"/>
        <v>2.694651010956814E-4</v>
      </c>
      <c r="N223" s="4">
        <f t="shared" si="23"/>
        <v>1.4895664437292207E-4</v>
      </c>
      <c r="O223">
        <f t="shared" si="22"/>
        <v>0</v>
      </c>
    </row>
    <row r="224" spans="3:15" x14ac:dyDescent="0.35">
      <c r="C224">
        <v>213</v>
      </c>
      <c r="D224" s="4">
        <v>1036.64544</v>
      </c>
      <c r="E224" s="4">
        <f t="shared" si="21"/>
        <v>0</v>
      </c>
      <c r="F224" s="4">
        <f t="shared" si="20"/>
        <v>1.347325505478407E-4</v>
      </c>
      <c r="G224" s="4">
        <f t="shared" si="23"/>
        <v>2.694651010956814E-4</v>
      </c>
      <c r="H224" s="4">
        <f t="shared" si="23"/>
        <v>3.5273439672521019E-4</v>
      </c>
      <c r="I224" s="4">
        <f t="shared" si="23"/>
        <v>4.3600369235473904E-4</v>
      </c>
      <c r="J224" s="4">
        <f t="shared" si="23"/>
        <v>4.3600369235473899E-4</v>
      </c>
      <c r="K224" s="4">
        <f t="shared" si="23"/>
        <v>4.3600369235473904E-4</v>
      </c>
      <c r="L224" s="4">
        <f t="shared" si="23"/>
        <v>3.5273439672521019E-4</v>
      </c>
      <c r="M224" s="4">
        <f t="shared" si="23"/>
        <v>2.694651010956814E-4</v>
      </c>
      <c r="N224" s="4">
        <f t="shared" si="23"/>
        <v>1.347325505478407E-4</v>
      </c>
      <c r="O224">
        <f t="shared" si="22"/>
        <v>0</v>
      </c>
    </row>
    <row r="225" spans="3:15" x14ac:dyDescent="0.35">
      <c r="C225">
        <v>214</v>
      </c>
      <c r="D225" s="4">
        <v>1041.51232</v>
      </c>
      <c r="E225" s="4">
        <f t="shared" si="21"/>
        <v>0</v>
      </c>
      <c r="F225" s="4">
        <f t="shared" si="20"/>
        <v>1.347325505478407E-4</v>
      </c>
      <c r="G225" s="4">
        <f t="shared" si="23"/>
        <v>2.4373347363652545E-4</v>
      </c>
      <c r="H225" s="4">
        <f t="shared" si="23"/>
        <v>3.5273439672521025E-4</v>
      </c>
      <c r="I225" s="4">
        <f t="shared" si="23"/>
        <v>3.9436904453997456E-4</v>
      </c>
      <c r="J225" s="4">
        <f t="shared" si="23"/>
        <v>4.3600369235473904E-4</v>
      </c>
      <c r="K225" s="4">
        <f t="shared" si="23"/>
        <v>3.9436904453997456E-4</v>
      </c>
      <c r="L225" s="4">
        <f t="shared" si="23"/>
        <v>3.5273439672521025E-4</v>
      </c>
      <c r="M225" s="4">
        <f t="shared" si="23"/>
        <v>2.4373347363652545E-4</v>
      </c>
      <c r="N225" s="4">
        <f t="shared" si="23"/>
        <v>1.347325505478407E-4</v>
      </c>
      <c r="O225">
        <f t="shared" si="22"/>
        <v>0</v>
      </c>
    </row>
    <row r="226" spans="3:15" x14ac:dyDescent="0.35">
      <c r="C226">
        <v>215</v>
      </c>
      <c r="D226" s="4">
        <v>1046.3792000000001</v>
      </c>
      <c r="E226" s="4">
        <f t="shared" si="21"/>
        <v>0</v>
      </c>
      <c r="F226" s="4">
        <f t="shared" si="20"/>
        <v>1.2186673681826272E-4</v>
      </c>
      <c r="G226" s="4">
        <f t="shared" si="23"/>
        <v>2.4373347363652547E-4</v>
      </c>
      <c r="H226" s="4">
        <f t="shared" si="23"/>
        <v>3.1905125908824998E-4</v>
      </c>
      <c r="I226" s="4">
        <f t="shared" si="23"/>
        <v>3.9436904453997467E-4</v>
      </c>
      <c r="J226" s="4">
        <f t="shared" si="23"/>
        <v>3.9436904453997456E-4</v>
      </c>
      <c r="K226" s="4">
        <f t="shared" si="23"/>
        <v>3.9436904453997467E-4</v>
      </c>
      <c r="L226" s="4">
        <f t="shared" si="23"/>
        <v>3.1905125908824998E-4</v>
      </c>
      <c r="M226" s="4">
        <f t="shared" si="23"/>
        <v>2.4373347363652547E-4</v>
      </c>
      <c r="N226" s="4">
        <f t="shared" si="23"/>
        <v>1.2186673681826272E-4</v>
      </c>
      <c r="O226">
        <f t="shared" si="22"/>
        <v>0</v>
      </c>
    </row>
    <row r="227" spans="3:15" x14ac:dyDescent="0.35">
      <c r="C227">
        <v>216</v>
      </c>
      <c r="D227" s="4">
        <v>1051.2460799999999</v>
      </c>
      <c r="E227" s="4">
        <f t="shared" si="21"/>
        <v>0</v>
      </c>
      <c r="F227" s="4">
        <f t="shared" si="20"/>
        <v>1.2186673681826274E-4</v>
      </c>
      <c r="G227" s="4">
        <f t="shared" si="23"/>
        <v>2.2045899795325636E-4</v>
      </c>
      <c r="H227" s="4">
        <f t="shared" si="23"/>
        <v>3.1905125908825009E-4</v>
      </c>
      <c r="I227" s="4">
        <f t="shared" si="23"/>
        <v>3.5671015181411227E-4</v>
      </c>
      <c r="J227" s="4">
        <f t="shared" si="23"/>
        <v>3.9436904453997467E-4</v>
      </c>
      <c r="K227" s="4">
        <f t="shared" si="23"/>
        <v>3.5671015181411227E-4</v>
      </c>
      <c r="L227" s="4">
        <f t="shared" si="23"/>
        <v>3.1905125908825009E-4</v>
      </c>
      <c r="M227" s="4">
        <f t="shared" si="23"/>
        <v>2.2045899795325636E-4</v>
      </c>
      <c r="N227" s="4">
        <f t="shared" si="23"/>
        <v>1.2186673681826274E-4</v>
      </c>
      <c r="O227">
        <f t="shared" si="22"/>
        <v>0</v>
      </c>
    </row>
    <row r="228" spans="3:15" x14ac:dyDescent="0.35">
      <c r="C228">
        <v>217</v>
      </c>
      <c r="D228" s="4">
        <v>1056.1129599999999</v>
      </c>
      <c r="E228" s="4">
        <f t="shared" si="21"/>
        <v>0</v>
      </c>
      <c r="F228" s="4">
        <f t="shared" si="20"/>
        <v>1.1022949897662818E-4</v>
      </c>
      <c r="G228" s="4">
        <f t="shared" si="20"/>
        <v>2.2045899795325642E-4</v>
      </c>
      <c r="H228" s="4">
        <f t="shared" si="20"/>
        <v>2.8858457488368432E-4</v>
      </c>
      <c r="I228" s="4">
        <f t="shared" si="20"/>
        <v>3.5671015181411238E-4</v>
      </c>
      <c r="J228" s="4">
        <f t="shared" si="20"/>
        <v>3.5671015181411227E-4</v>
      </c>
      <c r="K228" s="4">
        <f t="shared" si="20"/>
        <v>3.5671015181411238E-4</v>
      </c>
      <c r="L228" s="4">
        <f t="shared" si="20"/>
        <v>2.8858457488368432E-4</v>
      </c>
      <c r="M228" s="4">
        <f t="shared" si="20"/>
        <v>2.2045899795325642E-4</v>
      </c>
      <c r="N228" s="4">
        <f t="shared" si="20"/>
        <v>1.1022949897662818E-4</v>
      </c>
      <c r="O228">
        <f t="shared" si="22"/>
        <v>0</v>
      </c>
    </row>
    <row r="229" spans="3:15" x14ac:dyDescent="0.35">
      <c r="C229">
        <v>218</v>
      </c>
      <c r="D229" s="4">
        <v>1060.97984</v>
      </c>
      <c r="E229" s="4">
        <f t="shared" si="21"/>
        <v>0</v>
      </c>
      <c r="F229" s="4">
        <f t="shared" ref="F229:N234" si="24">(E228+G228)/2</f>
        <v>1.1022949897662821E-4</v>
      </c>
      <c r="G229" s="4">
        <f t="shared" si="24"/>
        <v>1.9940703693015625E-4</v>
      </c>
      <c r="H229" s="4">
        <f t="shared" si="24"/>
        <v>2.8858457488368443E-4</v>
      </c>
      <c r="I229" s="4">
        <f t="shared" si="24"/>
        <v>3.2264736334889829E-4</v>
      </c>
      <c r="J229" s="4">
        <f t="shared" si="24"/>
        <v>3.5671015181411238E-4</v>
      </c>
      <c r="K229" s="4">
        <f t="shared" si="24"/>
        <v>3.2264736334889829E-4</v>
      </c>
      <c r="L229" s="4">
        <f t="shared" si="24"/>
        <v>2.8858457488368443E-4</v>
      </c>
      <c r="M229" s="4">
        <f t="shared" si="24"/>
        <v>1.9940703693015625E-4</v>
      </c>
      <c r="N229" s="4">
        <f t="shared" si="24"/>
        <v>1.1022949897662821E-4</v>
      </c>
      <c r="O229">
        <f t="shared" si="22"/>
        <v>0</v>
      </c>
    </row>
    <row r="230" spans="3:15" x14ac:dyDescent="0.35">
      <c r="C230">
        <v>219</v>
      </c>
      <c r="D230" s="4">
        <v>1065.84672</v>
      </c>
      <c r="E230" s="4">
        <f t="shared" si="21"/>
        <v>0</v>
      </c>
      <c r="F230" s="4">
        <f t="shared" si="24"/>
        <v>9.9703518465078125E-5</v>
      </c>
      <c r="G230" s="4">
        <f t="shared" si="24"/>
        <v>1.9940703693015633E-4</v>
      </c>
      <c r="H230" s="4">
        <f t="shared" si="24"/>
        <v>2.6102720013952729E-4</v>
      </c>
      <c r="I230" s="4">
        <f t="shared" si="24"/>
        <v>3.226473633488984E-4</v>
      </c>
      <c r="J230" s="4">
        <f t="shared" si="24"/>
        <v>3.2264736334889829E-4</v>
      </c>
      <c r="K230" s="4">
        <f t="shared" si="24"/>
        <v>3.226473633488984E-4</v>
      </c>
      <c r="L230" s="4">
        <f t="shared" si="24"/>
        <v>2.6102720013952729E-4</v>
      </c>
      <c r="M230" s="4">
        <f t="shared" si="24"/>
        <v>1.9940703693015633E-4</v>
      </c>
      <c r="N230" s="4">
        <f t="shared" si="24"/>
        <v>9.9703518465078125E-5</v>
      </c>
      <c r="O230">
        <f t="shared" si="22"/>
        <v>0</v>
      </c>
    </row>
    <row r="231" spans="3:15" x14ac:dyDescent="0.35">
      <c r="C231">
        <v>220</v>
      </c>
      <c r="D231" s="4">
        <v>1070.7136</v>
      </c>
      <c r="E231" s="4">
        <f t="shared" si="21"/>
        <v>0</v>
      </c>
      <c r="F231" s="4">
        <f t="shared" si="24"/>
        <v>9.9703518465078166E-5</v>
      </c>
      <c r="G231" s="4">
        <f t="shared" si="24"/>
        <v>1.8036535930230271E-4</v>
      </c>
      <c r="H231" s="4">
        <f t="shared" si="24"/>
        <v>2.6102720013952739E-4</v>
      </c>
      <c r="I231" s="4">
        <f t="shared" si="24"/>
        <v>2.9183728174421279E-4</v>
      </c>
      <c r="J231" s="4">
        <f t="shared" si="24"/>
        <v>3.226473633488984E-4</v>
      </c>
      <c r="K231" s="4">
        <f t="shared" si="24"/>
        <v>2.9183728174421279E-4</v>
      </c>
      <c r="L231" s="4">
        <f t="shared" si="24"/>
        <v>2.6102720013952739E-4</v>
      </c>
      <c r="M231" s="4">
        <f t="shared" si="24"/>
        <v>1.8036535930230271E-4</v>
      </c>
      <c r="N231" s="4">
        <f t="shared" si="24"/>
        <v>9.9703518465078166E-5</v>
      </c>
      <c r="O231">
        <f t="shared" si="22"/>
        <v>0</v>
      </c>
    </row>
    <row r="232" spans="3:15" x14ac:dyDescent="0.35">
      <c r="C232">
        <v>221</v>
      </c>
      <c r="D232" s="4">
        <v>1075.5804800000001</v>
      </c>
      <c r="E232" s="4">
        <f t="shared" si="21"/>
        <v>0</v>
      </c>
      <c r="F232" s="4">
        <f t="shared" si="24"/>
        <v>9.0182679651151356E-5</v>
      </c>
      <c r="G232" s="4">
        <f t="shared" si="24"/>
        <v>1.8036535930230279E-4</v>
      </c>
      <c r="H232" s="4">
        <f t="shared" si="24"/>
        <v>2.3610132052325774E-4</v>
      </c>
      <c r="I232" s="4">
        <f t="shared" si="24"/>
        <v>2.918372817442129E-4</v>
      </c>
      <c r="J232" s="4">
        <f t="shared" si="24"/>
        <v>2.9183728174421279E-4</v>
      </c>
      <c r="K232" s="4">
        <f t="shared" si="24"/>
        <v>2.918372817442129E-4</v>
      </c>
      <c r="L232" s="4">
        <f t="shared" si="24"/>
        <v>2.3610132052325774E-4</v>
      </c>
      <c r="M232" s="4">
        <f t="shared" si="24"/>
        <v>1.8036535930230279E-4</v>
      </c>
      <c r="N232" s="4">
        <f t="shared" si="24"/>
        <v>9.0182679651151356E-5</v>
      </c>
      <c r="O232">
        <f t="shared" si="22"/>
        <v>0</v>
      </c>
    </row>
    <row r="233" spans="3:15" x14ac:dyDescent="0.35">
      <c r="C233">
        <v>222</v>
      </c>
      <c r="D233" s="4">
        <v>1080.4473599999999</v>
      </c>
      <c r="E233" s="4">
        <f t="shared" si="21"/>
        <v>0</v>
      </c>
      <c r="F233" s="4">
        <f t="shared" si="24"/>
        <v>9.0182679651151397E-5</v>
      </c>
      <c r="G233" s="4">
        <f t="shared" si="24"/>
        <v>1.6314200008720454E-4</v>
      </c>
      <c r="H233" s="4">
        <f t="shared" si="24"/>
        <v>2.3610132052325785E-4</v>
      </c>
      <c r="I233" s="4">
        <f t="shared" si="24"/>
        <v>2.6396930113373526E-4</v>
      </c>
      <c r="J233" s="4">
        <f t="shared" si="24"/>
        <v>2.918372817442129E-4</v>
      </c>
      <c r="K233" s="4">
        <f t="shared" si="24"/>
        <v>2.6396930113373526E-4</v>
      </c>
      <c r="L233" s="4">
        <f t="shared" si="24"/>
        <v>2.3610132052325785E-4</v>
      </c>
      <c r="M233" s="4">
        <f t="shared" si="24"/>
        <v>1.6314200008720454E-4</v>
      </c>
      <c r="N233" s="4">
        <f t="shared" si="24"/>
        <v>9.0182679651151397E-5</v>
      </c>
      <c r="O233">
        <f t="shared" si="22"/>
        <v>0</v>
      </c>
    </row>
    <row r="234" spans="3:15" x14ac:dyDescent="0.35">
      <c r="C234">
        <v>223</v>
      </c>
      <c r="D234" s="4">
        <v>1085.3142399999999</v>
      </c>
      <c r="E234" s="4">
        <f t="shared" si="21"/>
        <v>0</v>
      </c>
      <c r="F234" s="4">
        <f t="shared" si="24"/>
        <v>8.157100004360227E-5</v>
      </c>
      <c r="G234" s="4">
        <f t="shared" si="24"/>
        <v>1.6314200008720462E-4</v>
      </c>
      <c r="H234" s="4">
        <f t="shared" si="24"/>
        <v>2.1355565061046989E-4</v>
      </c>
      <c r="I234" s="4">
        <f t="shared" si="24"/>
        <v>2.6396930113373537E-4</v>
      </c>
      <c r="J234" s="4">
        <f t="shared" si="24"/>
        <v>2.6396930113373526E-4</v>
      </c>
      <c r="K234" s="4">
        <f t="shared" si="24"/>
        <v>2.6396930113373537E-4</v>
      </c>
      <c r="L234" s="4">
        <f t="shared" si="24"/>
        <v>2.1355565061046989E-4</v>
      </c>
      <c r="M234" s="4">
        <f t="shared" si="24"/>
        <v>1.6314200008720462E-4</v>
      </c>
      <c r="N234" s="4">
        <f t="shared" si="24"/>
        <v>8.157100004360227E-5</v>
      </c>
      <c r="O234">
        <f t="shared" si="22"/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9AA7-7488-4064-9B0F-0F56FFE29D69}">
  <dimension ref="A1:R26"/>
  <sheetViews>
    <sheetView workbookViewId="0">
      <selection activeCell="B22" sqref="B22"/>
    </sheetView>
  </sheetViews>
  <sheetFormatPr defaultRowHeight="14.5" x14ac:dyDescent="0.35"/>
  <cols>
    <col min="1" max="1" width="16.81640625" bestFit="1" customWidth="1"/>
    <col min="5" max="5" width="10.54296875" bestFit="1" customWidth="1"/>
    <col min="10" max="10" width="13.81640625" bestFit="1" customWidth="1"/>
  </cols>
  <sheetData>
    <row r="1" spans="1:18" x14ac:dyDescent="0.35">
      <c r="A1" s="1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</row>
    <row r="2" spans="1:18" x14ac:dyDescent="0.35">
      <c r="A2" s="12" t="s">
        <v>58</v>
      </c>
      <c r="C2">
        <v>0</v>
      </c>
      <c r="D2">
        <v>0</v>
      </c>
      <c r="E2">
        <v>1</v>
      </c>
      <c r="F2">
        <f>$A$9*E2</f>
        <v>0.01</v>
      </c>
      <c r="G2">
        <f t="shared" ref="G2:G12" si="0">$A$9*(E2+F2)</f>
        <v>1.01E-2</v>
      </c>
    </row>
    <row r="3" spans="1:18" x14ac:dyDescent="0.35">
      <c r="A3" s="12" t="s">
        <v>59</v>
      </c>
      <c r="C3">
        <v>1</v>
      </c>
      <c r="D3">
        <v>0.01</v>
      </c>
      <c r="E3">
        <f>E2+(F2+G2)/2</f>
        <v>1.0100499999999999</v>
      </c>
      <c r="F3">
        <f t="shared" ref="F3:F11" si="1">$A$9*E3</f>
        <v>1.0100499999999998E-2</v>
      </c>
      <c r="G3">
        <f t="shared" si="0"/>
        <v>1.0201505E-2</v>
      </c>
    </row>
    <row r="4" spans="1:18" x14ac:dyDescent="0.35">
      <c r="A4" s="12" t="s">
        <v>60</v>
      </c>
      <c r="C4">
        <v>2</v>
      </c>
      <c r="D4">
        <v>0.02</v>
      </c>
      <c r="E4">
        <f t="shared" ref="E4:E12" si="2">E3+(F3+G3)/2</f>
        <v>1.0202010024999999</v>
      </c>
      <c r="F4">
        <f t="shared" si="1"/>
        <v>1.0202010025E-2</v>
      </c>
      <c r="G4">
        <f t="shared" si="0"/>
        <v>1.0304030125249998E-2</v>
      </c>
    </row>
    <row r="5" spans="1:18" x14ac:dyDescent="0.35">
      <c r="A5" s="12" t="s">
        <v>61</v>
      </c>
      <c r="C5">
        <v>3</v>
      </c>
      <c r="D5">
        <v>0.03</v>
      </c>
      <c r="E5">
        <f t="shared" si="2"/>
        <v>1.0304540225751249</v>
      </c>
      <c r="F5">
        <f t="shared" si="1"/>
        <v>1.0304540225751248E-2</v>
      </c>
      <c r="G5">
        <f t="shared" si="0"/>
        <v>1.0407585628008762E-2</v>
      </c>
    </row>
    <row r="6" spans="1:18" x14ac:dyDescent="0.35">
      <c r="A6" s="12" t="s">
        <v>62</v>
      </c>
      <c r="C6">
        <v>4</v>
      </c>
      <c r="D6">
        <v>0.04</v>
      </c>
      <c r="E6">
        <f t="shared" si="2"/>
        <v>1.0408100855020048</v>
      </c>
      <c r="F6">
        <f t="shared" si="1"/>
        <v>1.0408100855020048E-2</v>
      </c>
      <c r="G6">
        <f t="shared" si="0"/>
        <v>1.0512181863570249E-2</v>
      </c>
    </row>
    <row r="7" spans="1:18" x14ac:dyDescent="0.35">
      <c r="A7" s="12" t="s">
        <v>63</v>
      </c>
      <c r="C7">
        <v>5</v>
      </c>
      <c r="D7">
        <v>0.05</v>
      </c>
      <c r="E7">
        <f t="shared" si="2"/>
        <v>1.0512702268612999</v>
      </c>
      <c r="F7">
        <f t="shared" si="1"/>
        <v>1.0512702268612999E-2</v>
      </c>
      <c r="G7">
        <f t="shared" si="0"/>
        <v>1.0617829291299128E-2</v>
      </c>
    </row>
    <row r="8" spans="1:18" ht="15" thickBot="1" x14ac:dyDescent="0.4">
      <c r="A8" s="13" t="s">
        <v>64</v>
      </c>
      <c r="C8">
        <v>6</v>
      </c>
      <c r="D8">
        <v>0.06</v>
      </c>
      <c r="E8">
        <f t="shared" si="2"/>
        <v>1.0618354926412559</v>
      </c>
      <c r="F8">
        <f t="shared" si="1"/>
        <v>1.0618354926412559E-2</v>
      </c>
      <c r="G8">
        <f>$A$9*(E8+F8)</f>
        <v>1.0724538475676684E-2</v>
      </c>
    </row>
    <row r="9" spans="1:18" x14ac:dyDescent="0.35">
      <c r="A9" s="14">
        <v>0.01</v>
      </c>
      <c r="C9">
        <v>7</v>
      </c>
      <c r="D9">
        <v>7.0000000000000007E-2</v>
      </c>
      <c r="E9">
        <f t="shared" si="2"/>
        <v>1.0725069393423006</v>
      </c>
      <c r="F9">
        <f t="shared" si="1"/>
        <v>1.0725069393423006E-2</v>
      </c>
      <c r="G9">
        <f t="shared" si="0"/>
        <v>1.0832320087357237E-2</v>
      </c>
    </row>
    <row r="10" spans="1:18" x14ac:dyDescent="0.35">
      <c r="C10">
        <v>8</v>
      </c>
      <c r="D10">
        <v>0.08</v>
      </c>
      <c r="E10">
        <f t="shared" si="2"/>
        <v>1.0832856340826906</v>
      </c>
      <c r="F10">
        <f t="shared" si="1"/>
        <v>1.0832856340826907E-2</v>
      </c>
      <c r="G10">
        <f t="shared" si="0"/>
        <v>1.0941184904235176E-2</v>
      </c>
    </row>
    <row r="11" spans="1:18" x14ac:dyDescent="0.35">
      <c r="C11">
        <v>9</v>
      </c>
      <c r="D11">
        <v>0.09</v>
      </c>
      <c r="E11">
        <f t="shared" si="2"/>
        <v>1.0941726547052217</v>
      </c>
      <c r="F11">
        <f t="shared" si="1"/>
        <v>1.0941726547052218E-2</v>
      </c>
      <c r="G11">
        <f t="shared" si="0"/>
        <v>1.1051143812522739E-2</v>
      </c>
    </row>
    <row r="12" spans="1:18" x14ac:dyDescent="0.35">
      <c r="C12">
        <v>10</v>
      </c>
      <c r="D12">
        <v>0.1</v>
      </c>
      <c r="E12">
        <f t="shared" si="2"/>
        <v>1.1051690898850093</v>
      </c>
      <c r="F12">
        <f>$A$9*E12</f>
        <v>1.1051690898850093E-2</v>
      </c>
      <c r="G12">
        <f t="shared" si="0"/>
        <v>1.1162207807838593E-2</v>
      </c>
    </row>
    <row r="14" spans="1:18" ht="15" thickBot="1" x14ac:dyDescent="0.4"/>
    <row r="15" spans="1:18" x14ac:dyDescent="0.35">
      <c r="A15" s="11" t="s">
        <v>52</v>
      </c>
      <c r="C15" t="s">
        <v>53</v>
      </c>
      <c r="D15" t="s">
        <v>54</v>
      </c>
      <c r="E15" t="s">
        <v>55</v>
      </c>
      <c r="F15" t="s">
        <v>56</v>
      </c>
      <c r="G15" t="s">
        <v>57</v>
      </c>
      <c r="H15" t="s">
        <v>65</v>
      </c>
      <c r="I15" t="s">
        <v>66</v>
      </c>
      <c r="J15" t="s">
        <v>67</v>
      </c>
      <c r="K15" t="s">
        <v>68</v>
      </c>
    </row>
    <row r="16" spans="1:18" x14ac:dyDescent="0.35">
      <c r="A16" s="12" t="s">
        <v>58</v>
      </c>
      <c r="C16">
        <v>0</v>
      </c>
      <c r="D16">
        <v>0</v>
      </c>
      <c r="E16">
        <v>1</v>
      </c>
      <c r="F16">
        <f>$A$23*E16</f>
        <v>0.01</v>
      </c>
      <c r="G16">
        <f>$A$23*(E16+(F16/2))</f>
        <v>1.005E-2</v>
      </c>
      <c r="H16">
        <f>$A$23*(E16+(G16/2))</f>
        <v>1.005025E-2</v>
      </c>
      <c r="I16">
        <f>$A$23*(E16+H16)</f>
        <v>1.0100502499999999E-2</v>
      </c>
      <c r="J16">
        <f>EXP(Tabela27[[#This Row],[xi]])</f>
        <v>1</v>
      </c>
      <c r="K16">
        <f>ABS(Tabela27[[#This Row],[yi(analitica)]]-Tabela27[[#This Row],[yi]])</f>
        <v>0</v>
      </c>
      <c r="R16" s="8"/>
    </row>
    <row r="17" spans="1:11" x14ac:dyDescent="0.35">
      <c r="A17" s="12" t="s">
        <v>59</v>
      </c>
      <c r="C17">
        <v>1</v>
      </c>
      <c r="D17">
        <v>0.01</v>
      </c>
      <c r="E17">
        <f>E16+(1/6)*(F16+2*G16+2*H16+I16)</f>
        <v>1.0100501670833333</v>
      </c>
      <c r="F17">
        <f t="shared" ref="F17:F26" si="3">$A$23*E17</f>
        <v>1.0100501670833333E-2</v>
      </c>
      <c r="G17">
        <f t="shared" ref="G17:G26" si="4">$A$23*(E17+(F17/2))</f>
        <v>1.01510041791875E-2</v>
      </c>
      <c r="H17">
        <f t="shared" ref="H17:H26" si="5">$A$23*(E17+(G17/2))</f>
        <v>1.0151256691729272E-2</v>
      </c>
      <c r="I17">
        <f t="shared" ref="I17:I26" si="6">$A$23*(E17+H17)</f>
        <v>1.0202014237750625E-2</v>
      </c>
      <c r="J17">
        <f>EXP(Tabela27[[#This Row],[xi]])</f>
        <v>1.0100501670841679</v>
      </c>
      <c r="K17">
        <f>ABS(Tabela27[[#This Row],[yi(analitica)]]-Tabela27[[#This Row],[yi]])</f>
        <v>8.3466566991319269E-13</v>
      </c>
    </row>
    <row r="18" spans="1:11" x14ac:dyDescent="0.35">
      <c r="A18" s="12" t="s">
        <v>60</v>
      </c>
      <c r="C18">
        <v>2</v>
      </c>
      <c r="D18">
        <v>0.02</v>
      </c>
      <c r="E18">
        <f t="shared" ref="E18:E26" si="7">E17+(1/6)*(F17+2*G17+2*H17+I17)</f>
        <v>1.0202013400250696</v>
      </c>
      <c r="F18">
        <f t="shared" si="3"/>
        <v>1.0202013400250697E-2</v>
      </c>
      <c r="G18">
        <f t="shared" si="4"/>
        <v>1.0253023467251949E-2</v>
      </c>
      <c r="H18">
        <f t="shared" si="5"/>
        <v>1.0253278517586955E-2</v>
      </c>
      <c r="I18">
        <f t="shared" si="6"/>
        <v>1.0304546185426566E-2</v>
      </c>
      <c r="J18">
        <f>EXP(Tabela27[[#This Row],[xi]])</f>
        <v>1.0202013400267558</v>
      </c>
      <c r="K18">
        <f>ABS(Tabela27[[#This Row],[yi(analitica)]]-Tabela27[[#This Row],[yi]])</f>
        <v>1.6862067298006878E-12</v>
      </c>
    </row>
    <row r="19" spans="1:11" x14ac:dyDescent="0.35">
      <c r="A19" s="12" t="s">
        <v>61</v>
      </c>
      <c r="C19">
        <v>3</v>
      </c>
      <c r="D19">
        <v>0.03</v>
      </c>
      <c r="E19">
        <f t="shared" si="7"/>
        <v>1.0304545339509621</v>
      </c>
      <c r="F19">
        <f t="shared" si="3"/>
        <v>1.0304545339509622E-2</v>
      </c>
      <c r="G19">
        <f t="shared" si="4"/>
        <v>1.0356068066207169E-2</v>
      </c>
      <c r="H19">
        <f t="shared" si="5"/>
        <v>1.0356325679840657E-2</v>
      </c>
      <c r="I19">
        <f t="shared" si="6"/>
        <v>1.0408108596308028E-2</v>
      </c>
      <c r="J19">
        <f>EXP(Tabela27[[#This Row],[xi]])</f>
        <v>1.0304545339535169</v>
      </c>
      <c r="K19">
        <f>ABS(Tabela27[[#This Row],[yi(analitica)]]-Tabela27[[#This Row],[yi]])</f>
        <v>2.5548452242674102E-12</v>
      </c>
    </row>
    <row r="20" spans="1:11" x14ac:dyDescent="0.35">
      <c r="A20" s="12" t="s">
        <v>62</v>
      </c>
      <c r="C20">
        <v>4</v>
      </c>
      <c r="D20">
        <v>0.04</v>
      </c>
      <c r="E20">
        <f t="shared" si="7"/>
        <v>1.0408107741889476</v>
      </c>
      <c r="F20">
        <f t="shared" si="3"/>
        <v>1.0408107741889477E-2</v>
      </c>
      <c r="G20">
        <f t="shared" si="4"/>
        <v>1.0460148280598925E-2</v>
      </c>
      <c r="H20">
        <f t="shared" si="5"/>
        <v>1.0460408483292471E-2</v>
      </c>
      <c r="I20">
        <f t="shared" si="6"/>
        <v>1.0512711826722402E-2</v>
      </c>
      <c r="J20">
        <f>EXP(Tabela27[[#This Row],[xi]])</f>
        <v>1.0408107741923882</v>
      </c>
      <c r="K20">
        <f>ABS(Tabela27[[#This Row],[yi(analitica)]]-Tabela27[[#This Row],[yi]])</f>
        <v>3.4405811533133601E-12</v>
      </c>
    </row>
    <row r="21" spans="1:11" x14ac:dyDescent="0.35">
      <c r="A21" s="12" t="s">
        <v>63</v>
      </c>
      <c r="C21">
        <v>5</v>
      </c>
      <c r="D21">
        <v>0.05</v>
      </c>
      <c r="E21">
        <f t="shared" si="7"/>
        <v>1.05127109637168</v>
      </c>
      <c r="F21">
        <f t="shared" si="3"/>
        <v>1.0512710963716801E-2</v>
      </c>
      <c r="G21">
        <f t="shared" si="4"/>
        <v>1.0565274518535384E-2</v>
      </c>
      <c r="H21">
        <f t="shared" si="5"/>
        <v>1.0565537336309477E-2</v>
      </c>
      <c r="I21">
        <f t="shared" si="6"/>
        <v>1.0618366337079894E-2</v>
      </c>
      <c r="J21">
        <f>EXP(Tabela27[[#This Row],[xi]])</f>
        <v>1.0512710963760241</v>
      </c>
      <c r="K21">
        <f>ABS(Tabela27[[#This Row],[yi(analitica)]]-Tabela27[[#This Row],[yi]])</f>
        <v>4.3440806507533125E-12</v>
      </c>
    </row>
    <row r="22" spans="1:11" ht="15" thickBot="1" x14ac:dyDescent="0.4">
      <c r="A22" s="13" t="s">
        <v>64</v>
      </c>
      <c r="C22">
        <v>6</v>
      </c>
      <c r="D22">
        <v>0.06</v>
      </c>
      <c r="E22">
        <f t="shared" si="7"/>
        <v>1.0618365465400945</v>
      </c>
      <c r="F22">
        <f t="shared" si="3"/>
        <v>1.0618365465400945E-2</v>
      </c>
      <c r="G22">
        <f t="shared" si="4"/>
        <v>1.067145729272795E-2</v>
      </c>
      <c r="H22">
        <f t="shared" si="5"/>
        <v>1.0671722751864586E-2</v>
      </c>
      <c r="I22">
        <f t="shared" si="6"/>
        <v>1.0725082692919592E-2</v>
      </c>
      <c r="J22">
        <f>EXP(Tabela27[[#This Row],[xi]])</f>
        <v>1.0618365465453596</v>
      </c>
      <c r="K22">
        <f>ABS(Tabela27[[#This Row],[yi(analitica)]]-Tabela27[[#This Row],[yi]])</f>
        <v>5.2651216719823424E-12</v>
      </c>
    </row>
    <row r="23" spans="1:11" x14ac:dyDescent="0.35">
      <c r="A23" s="14">
        <v>0.01</v>
      </c>
      <c r="C23">
        <v>7</v>
      </c>
      <c r="D23">
        <v>7.0000000000000007E-2</v>
      </c>
      <c r="E23">
        <f t="shared" si="7"/>
        <v>1.0725081812480122</v>
      </c>
      <c r="F23">
        <f t="shared" si="3"/>
        <v>1.0725081812480122E-2</v>
      </c>
      <c r="G23">
        <f t="shared" si="4"/>
        <v>1.0778707221542522E-2</v>
      </c>
      <c r="H23">
        <f t="shared" si="5"/>
        <v>1.0778975348587834E-2</v>
      </c>
      <c r="I23">
        <f t="shared" si="6"/>
        <v>1.0832871565966001E-2</v>
      </c>
      <c r="J23">
        <f>EXP(Tabela27[[#This Row],[xi]])</f>
        <v>1.0725081812542165</v>
      </c>
      <c r="K23">
        <f>ABS(Tabela27[[#This Row],[yi(analitica)]]-Tabela27[[#This Row],[yi]])</f>
        <v>6.2043703508152248E-12</v>
      </c>
    </row>
    <row r="24" spans="1:11" x14ac:dyDescent="0.35">
      <c r="C24">
        <v>8</v>
      </c>
      <c r="D24">
        <v>0.08</v>
      </c>
      <c r="E24">
        <f t="shared" si="7"/>
        <v>1.0832870676677966</v>
      </c>
      <c r="F24">
        <f t="shared" si="3"/>
        <v>1.0832870676677967E-2</v>
      </c>
      <c r="G24">
        <f t="shared" si="4"/>
        <v>1.0887035030061356E-2</v>
      </c>
      <c r="H24">
        <f t="shared" si="5"/>
        <v>1.0887305851828273E-2</v>
      </c>
      <c r="I24">
        <f t="shared" si="6"/>
        <v>1.0941743735196248E-2</v>
      </c>
      <c r="J24">
        <f>EXP(Tabela27[[#This Row],[xi]])</f>
        <v>1.0832870676749586</v>
      </c>
      <c r="K24">
        <f>ABS(Tabela27[[#This Row],[yi(analitica)]]-Tabela27[[#This Row],[yi]])</f>
        <v>7.1620487318568848E-12</v>
      </c>
    </row>
    <row r="25" spans="1:11" x14ac:dyDescent="0.35">
      <c r="C25">
        <v>9</v>
      </c>
      <c r="D25">
        <v>0.09</v>
      </c>
      <c r="E25">
        <f t="shared" si="7"/>
        <v>1.0941742836970723</v>
      </c>
      <c r="F25">
        <f t="shared" si="3"/>
        <v>1.0941742836970723E-2</v>
      </c>
      <c r="G25">
        <f t="shared" si="4"/>
        <v>1.0996451551155577E-2</v>
      </c>
      <c r="H25">
        <f t="shared" si="5"/>
        <v>1.0996725094726502E-2</v>
      </c>
      <c r="I25">
        <f t="shared" si="6"/>
        <v>1.1051710087917988E-2</v>
      </c>
      <c r="J25">
        <f>EXP(Tabela27[[#This Row],[xi]])</f>
        <v>1.0941742837052104</v>
      </c>
      <c r="K25">
        <f>ABS(Tabela27[[#This Row],[yi(analitica)]]-Tabela27[[#This Row],[yi]])</f>
        <v>8.1381568151073225E-12</v>
      </c>
    </row>
    <row r="26" spans="1:11" x14ac:dyDescent="0.35">
      <c r="C26">
        <v>10</v>
      </c>
      <c r="D26">
        <v>0.1</v>
      </c>
      <c r="E26" s="15">
        <f t="shared" si="7"/>
        <v>1.1051709180665144</v>
      </c>
      <c r="F26">
        <f t="shared" si="3"/>
        <v>1.1051709180665144E-2</v>
      </c>
      <c r="G26">
        <f t="shared" si="4"/>
        <v>1.1106967726568469E-2</v>
      </c>
      <c r="H26">
        <f t="shared" si="5"/>
        <v>1.1107244019297986E-2</v>
      </c>
      <c r="I26">
        <f t="shared" si="6"/>
        <v>1.1162781620858124E-2</v>
      </c>
      <c r="J26">
        <f>EXP(Tabela27[[#This Row],[xi]])</f>
        <v>1.1051709180756477</v>
      </c>
      <c r="K26">
        <f>ABS(Tabela27[[#This Row],[yi(analitica)]]-Tabela27[[#This Row],[yi]])</f>
        <v>9.1333607343813128E-12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3B713-F6D7-44DB-B666-C551FC857718}">
  <dimension ref="A1:N23"/>
  <sheetViews>
    <sheetView workbookViewId="0">
      <selection activeCell="C22" sqref="C22"/>
    </sheetView>
  </sheetViews>
  <sheetFormatPr defaultRowHeight="14.5" x14ac:dyDescent="0.35"/>
  <cols>
    <col min="1" max="1" width="17.54296875" bestFit="1" customWidth="1"/>
  </cols>
  <sheetData>
    <row r="1" spans="1:14" x14ac:dyDescent="0.35">
      <c r="A1" s="11" t="s">
        <v>69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65</v>
      </c>
      <c r="I1" t="s">
        <v>66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</row>
    <row r="2" spans="1:14" x14ac:dyDescent="0.35">
      <c r="A2" s="12" t="s">
        <v>60</v>
      </c>
      <c r="C2">
        <v>0</v>
      </c>
      <c r="D2">
        <v>0</v>
      </c>
      <c r="E2">
        <v>-1</v>
      </c>
      <c r="F2">
        <f>$A$23*Tabela23[[#This Row],[zi]]</f>
        <v>0</v>
      </c>
      <c r="G2">
        <f>$A$23*(Tabela23[[#This Row],[zi]]+(Tabela23[[#This Row],[l1]]/2))</f>
        <v>4.0000000000000008E-2</v>
      </c>
      <c r="H2">
        <f>$A$23*(Tabela23[[#This Row],[zi]]+(L2/2))</f>
        <v>5.2000000000000005E-2</v>
      </c>
      <c r="I2">
        <f t="shared" ref="I2:I12" si="0">$A$23*(J2+M2)</f>
        <v>0.10960000000000002</v>
      </c>
      <c r="J2">
        <v>0</v>
      </c>
      <c r="K2">
        <f>$A$23*(3*Tabela23[[#This Row],[zi]]-2*Tabela23[[#This Row],[yi]])</f>
        <v>0.4</v>
      </c>
      <c r="L2">
        <f>$A$23*(3*(Tabela23[[#This Row],[zi]]+Tabela23[[#This Row],[l1]]/2)-2*(Tabela23[[#This Row],[yi]]+Tabela23[[#This Row],[k1]]/2))</f>
        <v>0.52</v>
      </c>
      <c r="M2">
        <f>$A$23*(3*(Tabela23[[#This Row],[zi]]+Tabela23[[#This Row],[l2]]/2)-2*(Tabela23[[#This Row],[yi]]+Tabela23[[#This Row],[k2]]/2))</f>
        <v>0.54800000000000004</v>
      </c>
      <c r="N2">
        <f>$A$23*(3*(Tabela23[[#This Row],[zi]]+Tabela23[[#This Row],[l3]])-2*(Tabela23[[#This Row],[yi]]+Tabela23[[#This Row],[k3]]))</f>
        <v>0.70800000000000007</v>
      </c>
    </row>
    <row r="3" spans="1:14" x14ac:dyDescent="0.35">
      <c r="A3" s="12" t="s">
        <v>75</v>
      </c>
      <c r="C3">
        <v>1</v>
      </c>
      <c r="D3">
        <v>0.2</v>
      </c>
      <c r="E3">
        <f>E2+(1/6)*(F2+2*G2+2*H2+I2)</f>
        <v>-0.95106666666666662</v>
      </c>
      <c r="F3">
        <f>$A$23*Tabela23[[#This Row],[zi]]</f>
        <v>0.10813333333333333</v>
      </c>
      <c r="G3">
        <f>$A$23*(Tabela23[[#This Row],[zi]]+(Tabela23[[#This Row],[l1]]/2))</f>
        <v>0.178616</v>
      </c>
      <c r="H3">
        <f>$A$23*(Tabela23[[#This Row],[zi]]+(L3/2))</f>
        <v>0.19759813333333334</v>
      </c>
      <c r="I3">
        <f t="shared" si="0"/>
        <v>0.29563290666666669</v>
      </c>
      <c r="J3">
        <f>J2+(1/6)*(K2+2*L2+2*M2+N2)</f>
        <v>0.54066666666666663</v>
      </c>
      <c r="K3">
        <f>$A$23*(3*Tabela23[[#This Row],[zi]]-2*Tabela23[[#This Row],[yi]])</f>
        <v>0.70482666666666671</v>
      </c>
      <c r="L3">
        <f>$A$23*(3*(Tabela23[[#This Row],[zi]]+Tabela23[[#This Row],[l1]]/2)-2*(Tabela23[[#This Row],[yi]]+Tabela23[[#This Row],[k1]]/2))</f>
        <v>0.894648</v>
      </c>
      <c r="M3">
        <f>$A$23*(3*(Tabela23[[#This Row],[zi]]+Tabela23[[#This Row],[l2]]/2)-2*(Tabela23[[#This Row],[yi]]+Tabela23[[#This Row],[k2]]/2))</f>
        <v>0.93749786666666679</v>
      </c>
      <c r="N3">
        <f>$A$23*(3*(Tabela23[[#This Row],[zi]]+Tabela23[[#This Row],[l3]])-2*(Tabela23[[#This Row],[yi]]+Tabela23[[#This Row],[k3]]))</f>
        <v>1.1882861333333334</v>
      </c>
    </row>
    <row r="4" spans="1:14" x14ac:dyDescent="0.35">
      <c r="A4" s="12" t="s">
        <v>76</v>
      </c>
      <c r="C4">
        <v>2</v>
      </c>
      <c r="D4">
        <v>0.4</v>
      </c>
      <c r="E4">
        <f t="shared" ref="E4:E12" si="1">E3+(1/6)*(F3+2*G3+2*H3+I3)</f>
        <v>-0.75836758222222223</v>
      </c>
      <c r="F4">
        <f>$A$23*Tabela23[[#This Row],[zi]]</f>
        <v>0.2933801511111111</v>
      </c>
      <c r="G4">
        <f>$A$23*(Tabela23[[#This Row],[zi]]+(Tabela23[[#This Row],[l1]]/2))</f>
        <v>0.41172889973333338</v>
      </c>
      <c r="H4">
        <f>$A$23*(Tabela23[[#This Row],[zi]]+(L4/2))</f>
        <v>0.44136592129777785</v>
      </c>
      <c r="I4">
        <f t="shared" si="0"/>
        <v>0.60239995447822237</v>
      </c>
      <c r="J4">
        <f t="shared" ref="J4:J12" si="2">J3+(1/6)*(K3+2*L3+2*M3+N3)</f>
        <v>1.4669007555555555</v>
      </c>
      <c r="K4">
        <f>$A$23*(3*Tabela23[[#This Row],[zi]]-2*Tabela23[[#This Row],[yi]])</f>
        <v>1.1834874862222222</v>
      </c>
      <c r="L4">
        <f>$A$23*(3*(Tabela23[[#This Row],[zi]]+Tabela23[[#This Row],[l1]]/2)-2*(Tabela23[[#This Row],[yi]]+Tabela23[[#This Row],[k1]]/2))</f>
        <v>1.479857701866667</v>
      </c>
      <c r="M4">
        <f>$A$23*(3*(Tabela23[[#This Row],[zi]]+Tabela23[[#This Row],[l2]]/2)-2*(Tabela23[[#This Row],[yi]]+Tabela23[[#This Row],[k2]]/2))</f>
        <v>1.5450990168355558</v>
      </c>
      <c r="N4">
        <f>$A$23*(3*(Tabela23[[#This Row],[zi]]+Tabela23[[#This Row],[l3]])-2*(Tabela23[[#This Row],[yi]]+Tabela23[[#This Row],[k3]]))</f>
        <v>1.9340005278044448</v>
      </c>
    </row>
    <row r="5" spans="1:14" x14ac:dyDescent="0.35">
      <c r="A5" s="12" t="s">
        <v>61</v>
      </c>
      <c r="C5">
        <v>3</v>
      </c>
      <c r="D5">
        <v>0.6</v>
      </c>
      <c r="E5">
        <f t="shared" si="1"/>
        <v>-0.32470595761362953</v>
      </c>
      <c r="F5">
        <f>$A$23*Tabela23[[#This Row],[zi]]</f>
        <v>0.59896019949214829</v>
      </c>
      <c r="G5">
        <f>$A$23*(Tabela23[[#This Row],[zi]]+(Tabela23[[#This Row],[l1]]/2))</f>
        <v>0.79163649764433797</v>
      </c>
      <c r="H5">
        <f>$A$23*(Tabela23[[#This Row],[zi]]+(L5/2))</f>
        <v>0.83746018310015191</v>
      </c>
      <c r="I5">
        <f t="shared" si="0"/>
        <v>1.0957473260555564</v>
      </c>
      <c r="J5">
        <f t="shared" si="2"/>
        <v>2.9948009974607412</v>
      </c>
      <c r="K5">
        <f>$A$23*(3*Tabela23[[#This Row],[zi]]-2*Tabela23[[#This Row],[yi]])</f>
        <v>1.9267629815218967</v>
      </c>
      <c r="L5">
        <f>$A$23*(3*(Tabela23[[#This Row],[zi]]+Tabela23[[#This Row],[l1]]/2)-2*(Tabela23[[#This Row],[yi]]+Tabela23[[#This Row],[k1]]/2))</f>
        <v>2.384999836080036</v>
      </c>
      <c r="M5">
        <f>$A$23*(3*(Tabela23[[#This Row],[zi]]+Tabela23[[#This Row],[l2]]/2)-2*(Tabela23[[#This Row],[yi]]+Tabela23[[#This Row],[k2]]/2))</f>
        <v>2.4839356328170399</v>
      </c>
      <c r="N5">
        <f>$A$23*(3*(Tabela23[[#This Row],[zi]]+Tabela23[[#This Row],[l3]])-2*(Tabela23[[#This Row],[yi]]+Tabela23[[#This Row],[k3]]))</f>
        <v>3.0821402879720607</v>
      </c>
    </row>
    <row r="6" spans="1:14" ht="15" thickBot="1" x14ac:dyDescent="0.4">
      <c r="A6" s="13" t="s">
        <v>77</v>
      </c>
      <c r="C6">
        <v>4</v>
      </c>
      <c r="D6">
        <v>0.8</v>
      </c>
      <c r="E6">
        <f t="shared" si="1"/>
        <v>0.50077752355915117</v>
      </c>
      <c r="F6">
        <f>$A$23*Tabela23[[#This Row],[zi]]</f>
        <v>1.0905193397350854</v>
      </c>
      <c r="G6">
        <f>$A$23*(Tabela23[[#This Row],[zi]]+(Tabela23[[#This Row],[l1]]/2))</f>
        <v>1.3976440407132449</v>
      </c>
      <c r="H6">
        <f>$A$23*(Tabela23[[#This Row],[zi]]+(L6/2))</f>
        <v>1.4679710642119912</v>
      </c>
      <c r="I6">
        <f t="shared" si="0"/>
        <v>1.8753340147490183</v>
      </c>
      <c r="J6">
        <f t="shared" si="2"/>
        <v>5.4525966986754266</v>
      </c>
      <c r="K6">
        <f>$A$23*(3*Tabela23[[#This Row],[zi]]-2*Tabela23[[#This Row],[yi]])</f>
        <v>3.0712470097815956</v>
      </c>
      <c r="L6">
        <f>$A$23*(3*(Tabela23[[#This Row],[zi]]+Tabela23[[#This Row],[l1]]/2)-2*(Tabela23[[#This Row],[yi]]+Tabela23[[#This Row],[k1]]/2))</f>
        <v>3.7745172447690574</v>
      </c>
      <c r="M6">
        <f>$A$23*(3*(Tabela23[[#This Row],[zi]]+Tabela23[[#This Row],[l2]]/2)-2*(Tabela23[[#This Row],[yi]]+Tabela23[[#This Row],[k2]]/2))</f>
        <v>3.9240733750696637</v>
      </c>
      <c r="N6">
        <f>$A$23*(3*(Tabela23[[#This Row],[zi]]+Tabela23[[#This Row],[l3]])-2*(Tabela23[[#This Row],[yi]]+Tabela23[[#This Row],[k3]]))</f>
        <v>4.8385026091385983</v>
      </c>
    </row>
    <row r="7" spans="1:14" x14ac:dyDescent="0.35">
      <c r="C7">
        <v>5</v>
      </c>
      <c r="D7">
        <v>1</v>
      </c>
      <c r="E7">
        <f t="shared" si="1"/>
        <v>1.9502914509482472</v>
      </c>
      <c r="F7">
        <f>$A$23*Tabela23[[#This Row],[zi]]</f>
        <v>1.8674170350216732</v>
      </c>
      <c r="G7">
        <f>$A$23*(Tabela23[[#This Row],[zi]]+(Tabela23[[#This Row],[l1]]/2))</f>
        <v>2.3496304874902449</v>
      </c>
      <c r="H7">
        <f>$A$23*(Tabela23[[#This Row],[zi]]+(L7/2))</f>
        <v>2.4569461825303835</v>
      </c>
      <c r="I7">
        <f t="shared" si="0"/>
        <v>3.0915762089644336</v>
      </c>
      <c r="J7">
        <f t="shared" si="2"/>
        <v>9.3370851751083652</v>
      </c>
      <c r="K7">
        <f>$A$23*(3*Tabela23[[#This Row],[zi]]-2*Tabela23[[#This Row],[yi]])</f>
        <v>4.8221345246857208</v>
      </c>
      <c r="L7">
        <f>$A$23*(3*(Tabela23[[#This Row],[zi]]+Tabela23[[#This Row],[l1]]/2)-2*(Tabela23[[#This Row],[yi]]+Tabela23[[#This Row],[k1]]/2))</f>
        <v>5.8952914750871024</v>
      </c>
      <c r="M7">
        <f>$A$23*(3*(Tabela23[[#This Row],[zi]]+Tabela23[[#This Row],[l2]]/2)-2*(Tabela23[[#This Row],[yi]]+Tabela23[[#This Row],[k2]]/2))</f>
        <v>6.1207958697138025</v>
      </c>
      <c r="N7">
        <f>$A$23*(3*(Tabela23[[#This Row],[zi]]+Tabela23[[#This Row],[l3]])-2*(Tabela23[[#This Row],[yi]]+Tabela23[[#This Row],[k3]]))</f>
        <v>7.5118335735018498</v>
      </c>
    </row>
    <row r="8" spans="1:14" x14ac:dyDescent="0.35">
      <c r="C8">
        <v>6</v>
      </c>
      <c r="D8">
        <v>1.2</v>
      </c>
      <c r="E8">
        <f t="shared" si="1"/>
        <v>4.3789825482861406</v>
      </c>
      <c r="F8">
        <f>$A$23*Tabela23[[#This Row],[zi]]</f>
        <v>3.0796217946146527</v>
      </c>
      <c r="G8">
        <f>$A$23*(Tabela23[[#This Row],[zi]]+(Tabela23[[#This Row],[l1]]/2))</f>
        <v>3.8283490310676029</v>
      </c>
      <c r="H8">
        <f>$A$23*(Tabela23[[#This Row],[zi]]+(L8/2))</f>
        <v>3.9913747661111949</v>
      </c>
      <c r="I8">
        <f t="shared" si="0"/>
        <v>4.9709940891757745</v>
      </c>
      <c r="J8">
        <f t="shared" si="2"/>
        <v>15.398108973073263</v>
      </c>
      <c r="K8">
        <f>$A$23*(3*Tabela23[[#This Row],[zi]]-2*Tabela23[[#This Row],[yi]])</f>
        <v>7.4872723645295025</v>
      </c>
      <c r="L8">
        <f>$A$23*(3*(Tabela23[[#This Row],[zi]]+Tabela23[[#This Row],[l1]]/2)-2*(Tabela23[[#This Row],[yi]]+Tabela23[[#This Row],[k1]]/2))</f>
        <v>9.1175297149654231</v>
      </c>
      <c r="M8">
        <f>$A$23*(3*(Tabela23[[#This Row],[zi]]+Tabela23[[#This Row],[l2]]/2)-2*(Tabela23[[#This Row],[yi]]+Tabela23[[#This Row],[k2]]/2))</f>
        <v>9.456861472805608</v>
      </c>
      <c r="N8">
        <f>$A$23*(3*(Tabela23[[#This Row],[zi]]+Tabela23[[#This Row],[l3]])-2*(Tabela23[[#This Row],[yi]]+Tabela23[[#This Row],[k3]]))</f>
        <v>11.564839341768387</v>
      </c>
    </row>
    <row r="9" spans="1:14" x14ac:dyDescent="0.35">
      <c r="C9">
        <v>7</v>
      </c>
      <c r="D9">
        <v>1.4</v>
      </c>
      <c r="E9">
        <f t="shared" si="1"/>
        <v>8.3273264613108111</v>
      </c>
      <c r="F9">
        <f>$A$23*Tabela23[[#This Row],[zi]]</f>
        <v>4.952984930675985</v>
      </c>
      <c r="G9">
        <f>$A$23*(Tabela23[[#This Row],[zi]]+(Tabela23[[#This Row],[l1]]/2))</f>
        <v>6.105787351426347</v>
      </c>
      <c r="H9">
        <f>$A$23*(Tabela23[[#This Row],[zi]]+(L9/2))</f>
        <v>6.3525683790379368</v>
      </c>
      <c r="I9">
        <f t="shared" si="0"/>
        <v>7.8541083471368269</v>
      </c>
      <c r="J9">
        <f t="shared" si="2"/>
        <v>24.764924653379921</v>
      </c>
      <c r="K9">
        <f>$A$23*(3*Tabela23[[#This Row],[zi]]-2*Tabela23[[#This Row],[yi]])</f>
        <v>11.528024207503629</v>
      </c>
      <c r="L9">
        <f>$A$23*(3*(Tabela23[[#This Row],[zi]]+Tabela23[[#This Row],[l1]]/2)-2*(Tabela23[[#This Row],[yi]]+Tabela23[[#This Row],[k1]]/2))</f>
        <v>13.995834483619522</v>
      </c>
      <c r="M9">
        <f>$A$23*(3*(Tabela23[[#This Row],[zi]]+Tabela23[[#This Row],[l2]]/2)-2*(Tabela23[[#This Row],[yi]]+Tabela23[[#This Row],[k2]]/2))</f>
        <v>14.505617082304216</v>
      </c>
      <c r="N9">
        <f>$A$23*(3*(Tabela23[[#This Row],[zi]]+Tabela23[[#This Row],[l3]])-2*(Tabela23[[#This Row],[yi]]+Tabela23[[#This Row],[k3]]))</f>
        <v>17.69036710527098</v>
      </c>
    </row>
    <row r="10" spans="1:14" x14ac:dyDescent="0.35">
      <c r="C10">
        <v>8</v>
      </c>
      <c r="D10">
        <v>1.6</v>
      </c>
      <c r="E10">
        <f t="shared" si="1"/>
        <v>14.614627251101041</v>
      </c>
      <c r="F10">
        <f>$A$23*Tabela23[[#This Row],[zi]]</f>
        <v>7.8270280788300539</v>
      </c>
      <c r="G10">
        <f>$A$23*(Tabela23[[#This Row],[zi]]+(Tabela23[[#This Row],[l1]]/2))</f>
        <v>9.5905514124350297</v>
      </c>
      <c r="H10">
        <f>$A$23*(Tabela23[[#This Row],[zi]]+(L10/2))</f>
        <v>9.9630678509399218</v>
      </c>
      <c r="I10">
        <f t="shared" si="0"/>
        <v>12.252076552808521</v>
      </c>
      <c r="J10">
        <f t="shared" si="2"/>
        <v>39.13514039415027</v>
      </c>
      <c r="K10">
        <f>$A$23*(3*Tabela23[[#This Row],[zi]]-2*Tabela23[[#This Row],[yi]])</f>
        <v>17.635233336049748</v>
      </c>
      <c r="L10">
        <f>$A$23*(3*(Tabela23[[#This Row],[zi]]+Tabela23[[#This Row],[l1]]/2)-2*(Tabela23[[#This Row],[yi]]+Tabela23[[#This Row],[k1]]/2))</f>
        <v>21.360397721098661</v>
      </c>
      <c r="M10">
        <f>$A$23*(3*(Tabela23[[#This Row],[zi]]+Tabela23[[#This Row],[l2]]/2)-2*(Tabela23[[#This Row],[yi]]+Tabela23[[#This Row],[k2]]/2))</f>
        <v>22.125242369892337</v>
      </c>
      <c r="N10">
        <f>$A$23*(3*(Tabela23[[#This Row],[zi]]+Tabela23[[#This Row],[l3]])-2*(Tabela23[[#This Row],[yi]]+Tabela23[[#This Row],[k3]]))</f>
        <v>26.925151617609174</v>
      </c>
    </row>
    <row r="11" spans="1:14" x14ac:dyDescent="0.35">
      <c r="C11">
        <v>9</v>
      </c>
      <c r="D11">
        <v>1.8</v>
      </c>
      <c r="E11">
        <f t="shared" si="1"/>
        <v>24.47901777749912</v>
      </c>
      <c r="F11">
        <f>$A$23*Tabela23[[#This Row],[zi]]</f>
        <v>12.211416916684751</v>
      </c>
      <c r="G11">
        <f>$A$23*(Tabela23[[#This Row],[zi]]+(Tabela23[[#This Row],[l1]]/2))</f>
        <v>14.89568128059021</v>
      </c>
      <c r="H11">
        <f>$A$23*(Tabela23[[#This Row],[zi]]+(L11/2))</f>
        <v>15.456732251428154</v>
      </c>
      <c r="I11">
        <f t="shared" si="0"/>
        <v>18.931307594118106</v>
      </c>
      <c r="J11">
        <f t="shared" si="2"/>
        <v>61.057084583423752</v>
      </c>
      <c r="K11">
        <f>$A$23*(3*Tabela23[[#This Row],[zi]]-2*Tabela23[[#This Row],[yi]])</f>
        <v>26.842643639054604</v>
      </c>
      <c r="L11">
        <f>$A$23*(3*(Tabela23[[#This Row],[zi]]+Tabela23[[#This Row],[l1]]/2)-2*(Tabela23[[#This Row],[yi]]+Tabela23[[#This Row],[k1]]/2))</f>
        <v>32.453153347434032</v>
      </c>
      <c r="M11">
        <f>$A$23*(3*(Tabela23[[#This Row],[zi]]+Tabela23[[#This Row],[l2]]/2)-2*(Tabela23[[#This Row],[yi]]+Tabela23[[#This Row],[k2]]/2))</f>
        <v>33.599453387166776</v>
      </c>
      <c r="N11">
        <f>$A$23*(3*(Tabela23[[#This Row],[zi]]+Tabela23[[#This Row],[l3]])-2*(Tabela23[[#This Row],[yi]]+Tabela23[[#This Row],[k3]]))</f>
        <v>40.819622770783411</v>
      </c>
    </row>
    <row r="12" spans="1:14" x14ac:dyDescent="0.35">
      <c r="C12">
        <v>10</v>
      </c>
      <c r="D12">
        <v>2</v>
      </c>
      <c r="E12">
        <f t="shared" si="1"/>
        <v>39.786943039972385</v>
      </c>
      <c r="F12">
        <f>$A$23*Tabela23[[#This Row],[zi]]</f>
        <v>18.870332912652739</v>
      </c>
      <c r="G12">
        <f>$A$23*(Tabela23[[#This Row],[zi]]+(Tabela23[[#This Row],[l1]]/2))</f>
        <v>22.939955064849663</v>
      </c>
      <c r="H12">
        <f>$A$23*(Tabela23[[#This Row],[zi]]+(L12/2))</f>
        <v>23.783435052255687</v>
      </c>
      <c r="I12">
        <f t="shared" si="0"/>
        <v>29.039840298214372</v>
      </c>
      <c r="J12">
        <f t="shared" si="2"/>
        <v>94.351664563263682</v>
      </c>
      <c r="K12">
        <f>$A$23*(3*Tabela23[[#This Row],[zi]]-2*Tabela23[[#This Row],[yi]])</f>
        <v>40.696221521969257</v>
      </c>
      <c r="L12">
        <f>$A$23*(3*(Tabela23[[#This Row],[zi]]+Tabela23[[#This Row],[l1]]/2)-2*(Tabela23[[#This Row],[yi]]+Tabela23[[#This Row],[k1]]/2))</f>
        <v>49.131021396029482</v>
      </c>
      <c r="M12">
        <f>$A$23*(3*(Tabela23[[#This Row],[zi]]+Tabela23[[#This Row],[l2]]/2)-2*(Tabela23[[#This Row],[yi]]+Tabela23[[#This Row],[k2]]/2))</f>
        <v>50.847536927808171</v>
      </c>
      <c r="N12">
        <f>$A$23*(3*(Tabela23[[#This Row],[zi]]+Tabela23[[#This Row],[l3]])-2*(Tabela23[[#This Row],[yi]]+Tabela23[[#This Row],[k3]]))</f>
        <v>61.691369657751878</v>
      </c>
    </row>
    <row r="23" spans="1:1" x14ac:dyDescent="0.35">
      <c r="A23">
        <v>0.2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C3A02-4543-4CFF-BA7D-8269F60485BC}">
  <dimension ref="A1:N26"/>
  <sheetViews>
    <sheetView workbookViewId="0">
      <selection activeCell="B24" sqref="B24"/>
    </sheetView>
  </sheetViews>
  <sheetFormatPr defaultRowHeight="14.5" x14ac:dyDescent="0.35"/>
  <cols>
    <col min="1" max="1" width="17.54296875" bestFit="1" customWidth="1"/>
    <col min="4" max="4" width="12.26953125" bestFit="1" customWidth="1"/>
    <col min="5" max="5" width="14.453125" customWidth="1"/>
    <col min="6" max="6" width="12" bestFit="1" customWidth="1"/>
    <col min="7" max="7" width="13.81640625" customWidth="1"/>
  </cols>
  <sheetData>
    <row r="1" spans="1:14" x14ac:dyDescent="0.35">
      <c r="A1" s="11" t="s">
        <v>69</v>
      </c>
      <c r="C1" t="s">
        <v>53</v>
      </c>
      <c r="D1" t="s">
        <v>54</v>
      </c>
      <c r="E1" t="s">
        <v>55</v>
      </c>
      <c r="F1" t="s">
        <v>78</v>
      </c>
    </row>
    <row r="2" spans="1:14" x14ac:dyDescent="0.35">
      <c r="A2" s="12" t="s">
        <v>79</v>
      </c>
      <c r="C2">
        <v>0</v>
      </c>
      <c r="D2">
        <v>0</v>
      </c>
      <c r="E2">
        <v>1</v>
      </c>
      <c r="F2">
        <f>1-2*E2*D2</f>
        <v>1</v>
      </c>
    </row>
    <row r="3" spans="1:14" x14ac:dyDescent="0.35">
      <c r="A3" s="12" t="s">
        <v>60</v>
      </c>
      <c r="C3">
        <v>1</v>
      </c>
      <c r="D3">
        <v>0.01</v>
      </c>
      <c r="E3">
        <f>E2+0.01*F2</f>
        <v>1.01</v>
      </c>
      <c r="F3">
        <f>1-2*E3*D3</f>
        <v>0.9798</v>
      </c>
    </row>
    <row r="4" spans="1:14" x14ac:dyDescent="0.35">
      <c r="A4" s="12" t="s">
        <v>59</v>
      </c>
      <c r="C4">
        <v>2</v>
      </c>
      <c r="D4">
        <v>0.02</v>
      </c>
      <c r="E4">
        <f>E3+0.01*F3</f>
        <v>1.019798</v>
      </c>
      <c r="F4">
        <f>1-2*E4*D4</f>
        <v>0.95920808000000002</v>
      </c>
    </row>
    <row r="5" spans="1:14" x14ac:dyDescent="0.35">
      <c r="A5" s="12" t="s">
        <v>61</v>
      </c>
      <c r="C5">
        <v>3</v>
      </c>
      <c r="D5">
        <v>0.03</v>
      </c>
      <c r="E5">
        <f t="shared" ref="E5:E12" si="0">E4+0.01*F4</f>
        <v>1.0293900808000001</v>
      </c>
      <c r="F5">
        <f t="shared" ref="F5:F12" si="1">1-2*E5*D5</f>
        <v>0.93823659515199997</v>
      </c>
    </row>
    <row r="6" spans="1:14" ht="15" thickBot="1" x14ac:dyDescent="0.4">
      <c r="A6" s="13" t="s">
        <v>62</v>
      </c>
      <c r="C6">
        <v>4</v>
      </c>
      <c r="D6">
        <v>0.04</v>
      </c>
      <c r="E6">
        <f t="shared" si="0"/>
        <v>1.03877244675152</v>
      </c>
      <c r="F6">
        <f t="shared" si="1"/>
        <v>0.91689820425987834</v>
      </c>
    </row>
    <row r="7" spans="1:14" x14ac:dyDescent="0.35">
      <c r="A7" s="16" t="s">
        <v>63</v>
      </c>
      <c r="C7">
        <v>5</v>
      </c>
      <c r="D7">
        <v>0.05</v>
      </c>
      <c r="E7">
        <f t="shared" si="0"/>
        <v>1.0479414287941189</v>
      </c>
      <c r="F7">
        <f t="shared" si="1"/>
        <v>0.89520585712058809</v>
      </c>
    </row>
    <row r="8" spans="1:14" x14ac:dyDescent="0.35">
      <c r="A8" s="16" t="s">
        <v>64</v>
      </c>
      <c r="C8">
        <v>6</v>
      </c>
      <c r="D8">
        <v>0.06</v>
      </c>
      <c r="E8">
        <f t="shared" si="0"/>
        <v>1.0568934873653248</v>
      </c>
      <c r="F8">
        <f t="shared" si="1"/>
        <v>0.87317278151616096</v>
      </c>
      <c r="N8" s="8"/>
    </row>
    <row r="9" spans="1:14" x14ac:dyDescent="0.35">
      <c r="C9">
        <v>7</v>
      </c>
      <c r="D9">
        <v>7.0000000000000007E-2</v>
      </c>
      <c r="E9">
        <f t="shared" si="0"/>
        <v>1.0656252151804864</v>
      </c>
      <c r="F9">
        <f t="shared" si="1"/>
        <v>0.85081246987473191</v>
      </c>
    </row>
    <row r="10" spans="1:14" x14ac:dyDescent="0.35">
      <c r="C10">
        <v>8</v>
      </c>
      <c r="D10">
        <v>0.08</v>
      </c>
      <c r="E10">
        <f t="shared" si="0"/>
        <v>1.0741333398792337</v>
      </c>
      <c r="F10">
        <f t="shared" si="1"/>
        <v>0.82813866561932259</v>
      </c>
    </row>
    <row r="11" spans="1:14" x14ac:dyDescent="0.35">
      <c r="C11">
        <v>9</v>
      </c>
      <c r="D11">
        <v>0.09</v>
      </c>
      <c r="E11">
        <f t="shared" si="0"/>
        <v>1.0824147265354269</v>
      </c>
      <c r="F11">
        <f t="shared" si="1"/>
        <v>0.80516534922362315</v>
      </c>
    </row>
    <row r="12" spans="1:14" x14ac:dyDescent="0.35">
      <c r="C12">
        <v>10</v>
      </c>
      <c r="D12">
        <v>0.1</v>
      </c>
      <c r="E12">
        <f t="shared" si="0"/>
        <v>1.0904663800276631</v>
      </c>
      <c r="F12">
        <f t="shared" si="1"/>
        <v>0.78190672399446737</v>
      </c>
    </row>
    <row r="14" spans="1:14" ht="15" thickBot="1" x14ac:dyDescent="0.4"/>
    <row r="15" spans="1:14" x14ac:dyDescent="0.35">
      <c r="A15" s="11" t="s">
        <v>69</v>
      </c>
      <c r="C15" t="s">
        <v>53</v>
      </c>
      <c r="D15" t="s">
        <v>54</v>
      </c>
      <c r="E15" t="s">
        <v>80</v>
      </c>
      <c r="F15" t="s">
        <v>78</v>
      </c>
      <c r="G15" t="s">
        <v>81</v>
      </c>
      <c r="H15" t="s">
        <v>68</v>
      </c>
    </row>
    <row r="16" spans="1:14" x14ac:dyDescent="0.35">
      <c r="A16" s="12" t="s">
        <v>58</v>
      </c>
      <c r="C16">
        <v>0</v>
      </c>
      <c r="D16">
        <v>0</v>
      </c>
      <c r="E16">
        <v>1</v>
      </c>
      <c r="F16">
        <f>E16</f>
        <v>1</v>
      </c>
      <c r="G16">
        <f>EXP(D16)</f>
        <v>1</v>
      </c>
      <c r="H16">
        <f>G16-E16/G16</f>
        <v>0</v>
      </c>
    </row>
    <row r="17" spans="1:8" x14ac:dyDescent="0.35">
      <c r="A17" s="12" t="s">
        <v>82</v>
      </c>
      <c r="C17">
        <v>1</v>
      </c>
      <c r="D17">
        <v>0.01</v>
      </c>
      <c r="E17">
        <f>E16+$A$21*F16</f>
        <v>1.01</v>
      </c>
      <c r="F17">
        <f>E17</f>
        <v>1.01</v>
      </c>
      <c r="G17">
        <f t="shared" ref="G17:G26" si="2">EXP(D17)</f>
        <v>1.0100501670841679</v>
      </c>
      <c r="H17">
        <f>G17-E17/G17</f>
        <v>1.0099834997508106E-2</v>
      </c>
    </row>
    <row r="18" spans="1:8" x14ac:dyDescent="0.35">
      <c r="A18" s="12" t="s">
        <v>61</v>
      </c>
      <c r="C18">
        <v>2</v>
      </c>
      <c r="D18">
        <v>0.02</v>
      </c>
      <c r="E18">
        <f t="shared" ref="E18:E26" si="3">E17+$A$21*F17</f>
        <v>1.0201</v>
      </c>
      <c r="F18">
        <f t="shared" ref="F18:F26" si="4">E18</f>
        <v>1.0201</v>
      </c>
      <c r="G18">
        <f t="shared" si="2"/>
        <v>1.0202013400267558</v>
      </c>
      <c r="H18">
        <f t="shared" ref="H18:H26" si="5">G18-E18/G18</f>
        <v>2.0300673386534629E-2</v>
      </c>
    </row>
    <row r="19" spans="1:8" ht="15" thickBot="1" x14ac:dyDescent="0.4">
      <c r="A19" s="13" t="s">
        <v>62</v>
      </c>
      <c r="C19">
        <v>3</v>
      </c>
      <c r="D19">
        <v>0.03</v>
      </c>
      <c r="E19">
        <f t="shared" si="3"/>
        <v>1.0303009999999999</v>
      </c>
      <c r="F19">
        <f t="shared" si="4"/>
        <v>1.0303009999999999</v>
      </c>
      <c r="G19">
        <f t="shared" si="2"/>
        <v>1.0304545339535169</v>
      </c>
      <c r="H19">
        <f t="shared" si="5"/>
        <v>3.0603530292955594E-2</v>
      </c>
    </row>
    <row r="20" spans="1:8" x14ac:dyDescent="0.35">
      <c r="A20" s="16" t="s">
        <v>64</v>
      </c>
      <c r="C20">
        <v>4</v>
      </c>
      <c r="D20">
        <v>0.04</v>
      </c>
      <c r="E20">
        <f t="shared" si="3"/>
        <v>1.0406040099999998</v>
      </c>
      <c r="F20">
        <f t="shared" si="4"/>
        <v>1.0406040099999998</v>
      </c>
      <c r="G20">
        <f t="shared" si="2"/>
        <v>1.0408107741923882</v>
      </c>
      <c r="H20">
        <f t="shared" si="5"/>
        <v>4.1009431044829903E-2</v>
      </c>
    </row>
    <row r="21" spans="1:8" x14ac:dyDescent="0.35">
      <c r="A21">
        <v>0.01</v>
      </c>
      <c r="C21">
        <v>5</v>
      </c>
      <c r="D21">
        <v>0.05</v>
      </c>
      <c r="E21">
        <f t="shared" si="3"/>
        <v>1.0510100500999997</v>
      </c>
      <c r="F21">
        <f t="shared" si="4"/>
        <v>1.0510100500999997</v>
      </c>
      <c r="G21">
        <f t="shared" si="2"/>
        <v>1.0512710963760241</v>
      </c>
      <c r="H21">
        <f t="shared" si="5"/>
        <v>5.1519411274934868E-2</v>
      </c>
    </row>
    <row r="22" spans="1:8" x14ac:dyDescent="0.35">
      <c r="C22">
        <v>6</v>
      </c>
      <c r="D22">
        <v>0.06</v>
      </c>
      <c r="E22">
        <f t="shared" si="3"/>
        <v>1.0615201506009997</v>
      </c>
      <c r="F22">
        <f t="shared" si="4"/>
        <v>1.0615201506009997</v>
      </c>
      <c r="G22">
        <f t="shared" si="2"/>
        <v>1.0618365465453596</v>
      </c>
      <c r="H22">
        <f t="shared" si="5"/>
        <v>6.2134517024327707E-2</v>
      </c>
    </row>
    <row r="23" spans="1:8" x14ac:dyDescent="0.35">
      <c r="C23">
        <v>7</v>
      </c>
      <c r="D23">
        <v>7.0000000000000007E-2</v>
      </c>
      <c r="E23">
        <f t="shared" si="3"/>
        <v>1.0721353521070096</v>
      </c>
      <c r="F23">
        <f t="shared" si="4"/>
        <v>1.0721353521070096</v>
      </c>
      <c r="G23">
        <f t="shared" si="2"/>
        <v>1.0725081812542165</v>
      </c>
      <c r="H23">
        <f t="shared" si="5"/>
        <v>7.2855804846953087E-2</v>
      </c>
    </row>
    <row r="24" spans="1:8" x14ac:dyDescent="0.35">
      <c r="C24">
        <v>8</v>
      </c>
      <c r="D24">
        <v>0.08</v>
      </c>
      <c r="E24">
        <f t="shared" si="3"/>
        <v>1.0828567056280798</v>
      </c>
      <c r="F24">
        <f t="shared" si="4"/>
        <v>1.0828567056280798</v>
      </c>
      <c r="G24">
        <f t="shared" si="2"/>
        <v>1.0832870676749586</v>
      </c>
      <c r="H24">
        <f t="shared" si="5"/>
        <v>8.3684341915296945E-2</v>
      </c>
    </row>
    <row r="25" spans="1:8" x14ac:dyDescent="0.35">
      <c r="C25">
        <v>9</v>
      </c>
      <c r="D25">
        <v>0.09</v>
      </c>
      <c r="E25">
        <f t="shared" si="3"/>
        <v>1.0936852726843607</v>
      </c>
      <c r="F25">
        <f t="shared" si="4"/>
        <v>1.0936852726843607</v>
      </c>
      <c r="G25">
        <f t="shared" si="2"/>
        <v>1.0941742837052104</v>
      </c>
      <c r="H25">
        <f t="shared" si="5"/>
        <v>9.4621206127106339E-2</v>
      </c>
    </row>
    <row r="26" spans="1:8" x14ac:dyDescent="0.35">
      <c r="C26">
        <v>10</v>
      </c>
      <c r="D26">
        <v>0.1</v>
      </c>
      <c r="E26">
        <f t="shared" si="3"/>
        <v>1.1046221254112043</v>
      </c>
      <c r="F26">
        <f t="shared" si="4"/>
        <v>1.1046221254112043</v>
      </c>
      <c r="G26">
        <f t="shared" si="2"/>
        <v>1.1051709180756477</v>
      </c>
      <c r="H26">
        <f t="shared" si="5"/>
        <v>0.10566748621317978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51D17-EF31-43E0-98CE-E98B6C9E22E3}">
  <dimension ref="A1:H34"/>
  <sheetViews>
    <sheetView workbookViewId="0">
      <selection activeCell="D5" sqref="D5"/>
    </sheetView>
  </sheetViews>
  <sheetFormatPr defaultRowHeight="14.5" x14ac:dyDescent="0.35"/>
  <sheetData>
    <row r="1" spans="1:8" x14ac:dyDescent="0.35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</row>
    <row r="2" spans="1:8" x14ac:dyDescent="0.35">
      <c r="A2">
        <v>0</v>
      </c>
      <c r="B2">
        <v>0</v>
      </c>
      <c r="C2">
        <v>0</v>
      </c>
      <c r="D2">
        <v>0</v>
      </c>
      <c r="E2" t="s">
        <v>91</v>
      </c>
      <c r="F2" t="s">
        <v>91</v>
      </c>
      <c r="G2" t="s">
        <v>91</v>
      </c>
    </row>
    <row r="3" spans="1:8" x14ac:dyDescent="0.35">
      <c r="A3">
        <v>1</v>
      </c>
      <c r="B3">
        <f>1/10*(28-2*C2-6*D2)</f>
        <v>2.8000000000000003</v>
      </c>
      <c r="C3">
        <f>1/10*(7-B3-9*D2)</f>
        <v>0.41999999999999993</v>
      </c>
      <c r="D3">
        <f>1/10*(-17-7*C3+2*B3)</f>
        <v>-1.4339999999999997</v>
      </c>
      <c r="E3">
        <f>ABS(B3-B2)</f>
        <v>2.8000000000000003</v>
      </c>
      <c r="F3">
        <f>ABS(C3-C2)</f>
        <v>0.41999999999999993</v>
      </c>
      <c r="G3">
        <f>ABS(D3-D2)</f>
        <v>1.4339999999999997</v>
      </c>
      <c r="H3">
        <f>MAX(E3:G3)</f>
        <v>2.8000000000000003</v>
      </c>
    </row>
    <row r="4" spans="1:8" x14ac:dyDescent="0.35">
      <c r="A4">
        <v>2</v>
      </c>
      <c r="B4">
        <f t="shared" ref="B4:B34" si="0">1/10*(28-2*C3-6*D3)</f>
        <v>3.5763999999999996</v>
      </c>
      <c r="C4">
        <f t="shared" ref="C4:C34" si="1">1/10*(7-B4-9*D3)</f>
        <v>1.63296</v>
      </c>
      <c r="D4">
        <f t="shared" ref="D4:D34" si="2">1/10*(-17-7*C4+2*B4)</f>
        <v>-2.1277920000000003</v>
      </c>
      <c r="E4">
        <f t="shared" ref="E4:G34" si="3">ABS(B4-B3)</f>
        <v>0.77639999999999931</v>
      </c>
      <c r="F4">
        <f t="shared" si="3"/>
        <v>1.21296</v>
      </c>
      <c r="G4">
        <f t="shared" si="3"/>
        <v>0.69379200000000063</v>
      </c>
      <c r="H4">
        <f t="shared" ref="H4:H34" si="4">MAX(E4:G4)</f>
        <v>1.21296</v>
      </c>
    </row>
    <row r="5" spans="1:8" x14ac:dyDescent="0.35">
      <c r="A5">
        <v>3</v>
      </c>
      <c r="B5">
        <f t="shared" si="0"/>
        <v>3.7500832000000006</v>
      </c>
      <c r="C5">
        <f t="shared" si="1"/>
        <v>2.2400044800000005</v>
      </c>
      <c r="D5">
        <f t="shared" si="2"/>
        <v>-2.5179864960000002</v>
      </c>
      <c r="E5">
        <f t="shared" si="3"/>
        <v>0.17368320000000104</v>
      </c>
      <c r="F5">
        <f t="shared" si="3"/>
        <v>0.60704448000000055</v>
      </c>
      <c r="G5">
        <f t="shared" si="3"/>
        <v>0.39019449599999989</v>
      </c>
      <c r="H5">
        <f t="shared" si="4"/>
        <v>0.60704448000000055</v>
      </c>
    </row>
    <row r="6" spans="1:8" x14ac:dyDescent="0.35">
      <c r="A6">
        <v>4</v>
      </c>
      <c r="B6">
        <f t="shared" si="0"/>
        <v>3.8627910016000002</v>
      </c>
      <c r="C6">
        <f t="shared" si="1"/>
        <v>2.5799087462400001</v>
      </c>
      <c r="D6">
        <f t="shared" si="2"/>
        <v>-2.7333779220480001</v>
      </c>
      <c r="E6">
        <f t="shared" si="3"/>
        <v>0.1127078015999996</v>
      </c>
      <c r="F6">
        <f t="shared" si="3"/>
        <v>0.33990426623999959</v>
      </c>
      <c r="G6">
        <f t="shared" si="3"/>
        <v>0.21539142604799988</v>
      </c>
      <c r="H6">
        <f t="shared" si="4"/>
        <v>0.33990426623999959</v>
      </c>
    </row>
    <row r="7" spans="1:8" x14ac:dyDescent="0.35">
      <c r="A7">
        <v>5</v>
      </c>
      <c r="B7">
        <f t="shared" si="0"/>
        <v>3.9240450039807997</v>
      </c>
      <c r="C7">
        <f t="shared" si="1"/>
        <v>2.7676356294451203</v>
      </c>
      <c r="D7">
        <f t="shared" si="2"/>
        <v>-2.8525359398154242</v>
      </c>
      <c r="E7">
        <f t="shared" si="3"/>
        <v>6.1254002380799477E-2</v>
      </c>
      <c r="F7">
        <f t="shared" si="3"/>
        <v>0.18772688320512021</v>
      </c>
      <c r="G7">
        <f t="shared" si="3"/>
        <v>0.11915801776742407</v>
      </c>
      <c r="H7">
        <f t="shared" si="4"/>
        <v>0.18772688320512021</v>
      </c>
    </row>
    <row r="8" spans="1:8" x14ac:dyDescent="0.35">
      <c r="A8">
        <v>6</v>
      </c>
      <c r="B8">
        <f t="shared" si="0"/>
        <v>3.9579944380002305</v>
      </c>
      <c r="C8">
        <f t="shared" si="1"/>
        <v>2.871482902033859</v>
      </c>
      <c r="D8">
        <f t="shared" si="2"/>
        <v>-2.9184391438236554</v>
      </c>
      <c r="E8">
        <f t="shared" si="3"/>
        <v>3.3949434019430846E-2</v>
      </c>
      <c r="F8">
        <f t="shared" si="3"/>
        <v>0.10384727258873871</v>
      </c>
      <c r="G8">
        <f t="shared" si="3"/>
        <v>6.5903204008231242E-2</v>
      </c>
      <c r="H8">
        <f t="shared" si="4"/>
        <v>0.10384727258873871</v>
      </c>
    </row>
    <row r="9" spans="1:8" x14ac:dyDescent="0.35">
      <c r="A9">
        <v>7</v>
      </c>
      <c r="B9">
        <f t="shared" si="0"/>
        <v>3.976766905887422</v>
      </c>
      <c r="C9">
        <f t="shared" si="1"/>
        <v>2.9289185388525478</v>
      </c>
      <c r="D9">
        <f t="shared" si="2"/>
        <v>-2.9548895960192993</v>
      </c>
      <c r="E9">
        <f t="shared" si="3"/>
        <v>1.8772467887191446E-2</v>
      </c>
      <c r="F9">
        <f t="shared" si="3"/>
        <v>5.7435636818688796E-2</v>
      </c>
      <c r="G9">
        <f t="shared" si="3"/>
        <v>3.6450452195643912E-2</v>
      </c>
      <c r="H9">
        <f t="shared" si="4"/>
        <v>5.7435636818688796E-2</v>
      </c>
    </row>
    <row r="10" spans="1:8" x14ac:dyDescent="0.35">
      <c r="A10">
        <v>8</v>
      </c>
      <c r="B10">
        <f t="shared" si="0"/>
        <v>3.9871500498410697</v>
      </c>
      <c r="C10">
        <f t="shared" si="1"/>
        <v>2.9606856314332628</v>
      </c>
      <c r="D10">
        <f t="shared" si="2"/>
        <v>-2.9750499320350698</v>
      </c>
      <c r="E10">
        <f t="shared" si="3"/>
        <v>1.03831439536477E-2</v>
      </c>
      <c r="F10">
        <f t="shared" si="3"/>
        <v>3.1767092580714973E-2</v>
      </c>
      <c r="G10">
        <f t="shared" si="3"/>
        <v>2.0160336015770497E-2</v>
      </c>
      <c r="H10">
        <f t="shared" si="4"/>
        <v>3.1767092580714973E-2</v>
      </c>
    </row>
    <row r="11" spans="1:8" x14ac:dyDescent="0.35">
      <c r="A11">
        <v>9</v>
      </c>
      <c r="B11">
        <f t="shared" si="0"/>
        <v>3.9928928329343893</v>
      </c>
      <c r="C11">
        <f t="shared" si="1"/>
        <v>2.9782556555381241</v>
      </c>
      <c r="D11">
        <f t="shared" si="2"/>
        <v>-2.9862003922898097</v>
      </c>
      <c r="E11">
        <f t="shared" si="3"/>
        <v>5.7427830933196589E-3</v>
      </c>
      <c r="F11">
        <f t="shared" si="3"/>
        <v>1.7570024104861304E-2</v>
      </c>
      <c r="G11">
        <f t="shared" si="3"/>
        <v>1.1150460254739869E-2</v>
      </c>
      <c r="H11">
        <f t="shared" si="4"/>
        <v>1.7570024104861304E-2</v>
      </c>
    </row>
    <row r="12" spans="1:8" x14ac:dyDescent="0.35">
      <c r="A12">
        <v>10</v>
      </c>
      <c r="B12">
        <f t="shared" si="0"/>
        <v>3.9960691042662613</v>
      </c>
      <c r="C12">
        <f t="shared" si="1"/>
        <v>2.9879734426342028</v>
      </c>
      <c r="D12">
        <f t="shared" si="2"/>
        <v>-2.9923675889906898</v>
      </c>
      <c r="E12">
        <f t="shared" si="3"/>
        <v>3.1762713318719271E-3</v>
      </c>
      <c r="F12">
        <f t="shared" si="3"/>
        <v>9.7177870960787338E-3</v>
      </c>
      <c r="G12">
        <f t="shared" si="3"/>
        <v>6.1671967008800621E-3</v>
      </c>
      <c r="H12">
        <f t="shared" si="4"/>
        <v>9.7177870960787338E-3</v>
      </c>
    </row>
    <row r="13" spans="1:8" x14ac:dyDescent="0.35">
      <c r="A13">
        <v>11</v>
      </c>
      <c r="B13">
        <f t="shared" si="0"/>
        <v>3.9978258648675737</v>
      </c>
      <c r="C13">
        <f t="shared" si="1"/>
        <v>2.9933482436048635</v>
      </c>
      <c r="D13">
        <f t="shared" si="2"/>
        <v>-2.9957785975498901</v>
      </c>
      <c r="E13">
        <f t="shared" si="3"/>
        <v>1.7567606013124681E-3</v>
      </c>
      <c r="F13">
        <f t="shared" si="3"/>
        <v>5.3748009706606759E-3</v>
      </c>
      <c r="G13">
        <f t="shared" si="3"/>
        <v>3.4110085592002903E-3</v>
      </c>
      <c r="H13">
        <f t="shared" si="4"/>
        <v>5.3748009706606759E-3</v>
      </c>
    </row>
    <row r="14" spans="1:8" x14ac:dyDescent="0.35">
      <c r="A14">
        <v>12</v>
      </c>
      <c r="B14">
        <f t="shared" si="0"/>
        <v>3.9987975098089614</v>
      </c>
      <c r="C14">
        <f t="shared" si="1"/>
        <v>2.996320986814005</v>
      </c>
      <c r="D14">
        <f t="shared" si="2"/>
        <v>-2.997665188808011</v>
      </c>
      <c r="E14">
        <f t="shared" si="3"/>
        <v>9.7164494138768376E-4</v>
      </c>
      <c r="F14">
        <f t="shared" si="3"/>
        <v>2.9727432091415373E-3</v>
      </c>
      <c r="G14">
        <f t="shared" si="3"/>
        <v>1.8865912581209621E-3</v>
      </c>
      <c r="H14">
        <f t="shared" si="4"/>
        <v>2.9727432091415373E-3</v>
      </c>
    </row>
    <row r="15" spans="1:8" x14ac:dyDescent="0.35">
      <c r="A15">
        <v>13</v>
      </c>
      <c r="B15">
        <f t="shared" si="0"/>
        <v>3.999334915922006</v>
      </c>
      <c r="C15">
        <f t="shared" si="1"/>
        <v>2.9979651783350096</v>
      </c>
      <c r="D15">
        <f t="shared" si="2"/>
        <v>-2.9987086416501061</v>
      </c>
      <c r="E15">
        <f t="shared" si="3"/>
        <v>5.3740611304453623E-4</v>
      </c>
      <c r="F15">
        <f t="shared" si="3"/>
        <v>1.6441915210045899E-3</v>
      </c>
      <c r="G15">
        <f t="shared" si="3"/>
        <v>1.0434528420950606E-3</v>
      </c>
      <c r="H15">
        <f t="shared" si="4"/>
        <v>1.6441915210045899E-3</v>
      </c>
    </row>
    <row r="16" spans="1:8" x14ac:dyDescent="0.35">
      <c r="A16">
        <v>14</v>
      </c>
      <c r="B16">
        <f t="shared" si="0"/>
        <v>3.999632149323062</v>
      </c>
      <c r="C16">
        <f t="shared" si="1"/>
        <v>2.9988745625527891</v>
      </c>
      <c r="D16">
        <f t="shared" si="2"/>
        <v>-2.9992857639223405</v>
      </c>
      <c r="E16">
        <f t="shared" si="3"/>
        <v>2.9723340105602958E-4</v>
      </c>
      <c r="F16">
        <f t="shared" si="3"/>
        <v>9.0938421777941869E-4</v>
      </c>
      <c r="G16">
        <f t="shared" si="3"/>
        <v>5.7712227223438717E-4</v>
      </c>
      <c r="H16">
        <f t="shared" si="4"/>
        <v>9.0938421777941869E-4</v>
      </c>
    </row>
    <row r="17" spans="1:8" x14ac:dyDescent="0.35">
      <c r="A17">
        <v>15</v>
      </c>
      <c r="B17">
        <f t="shared" si="0"/>
        <v>3.9997965458428468</v>
      </c>
      <c r="C17">
        <f t="shared" si="1"/>
        <v>2.9993775329458217</v>
      </c>
      <c r="D17">
        <f t="shared" si="2"/>
        <v>-2.9996049638935061</v>
      </c>
      <c r="E17">
        <f t="shared" si="3"/>
        <v>1.6439651978483738E-4</v>
      </c>
      <c r="F17">
        <f t="shared" si="3"/>
        <v>5.0297039303259794E-4</v>
      </c>
      <c r="G17">
        <f t="shared" si="3"/>
        <v>3.1919997116558463E-4</v>
      </c>
      <c r="H17">
        <f t="shared" si="4"/>
        <v>5.0297039303259794E-4</v>
      </c>
    </row>
    <row r="18" spans="1:8" x14ac:dyDescent="0.35">
      <c r="A18">
        <v>16</v>
      </c>
      <c r="B18">
        <f t="shared" si="0"/>
        <v>3.9998874717469395</v>
      </c>
      <c r="C18">
        <f t="shared" si="1"/>
        <v>2.9996557203294616</v>
      </c>
      <c r="D18">
        <f t="shared" si="2"/>
        <v>-2.999781509881235</v>
      </c>
      <c r="E18">
        <f t="shared" si="3"/>
        <v>9.0925904092653553E-5</v>
      </c>
      <c r="F18">
        <f t="shared" si="3"/>
        <v>2.7818738363993845E-4</v>
      </c>
      <c r="G18">
        <f t="shared" si="3"/>
        <v>1.7654598772898211E-4</v>
      </c>
      <c r="H18">
        <f t="shared" si="4"/>
        <v>2.7818738363993845E-4</v>
      </c>
    </row>
    <row r="19" spans="1:8" x14ac:dyDescent="0.35">
      <c r="A19">
        <v>17</v>
      </c>
      <c r="B19">
        <f t="shared" si="0"/>
        <v>3.9999377618628489</v>
      </c>
      <c r="C19">
        <f t="shared" si="1"/>
        <v>2.9998095827068267</v>
      </c>
      <c r="D19">
        <f t="shared" si="2"/>
        <v>-2.9998791555222093</v>
      </c>
      <c r="E19">
        <f t="shared" si="3"/>
        <v>5.0290115909401578E-5</v>
      </c>
      <c r="F19">
        <f t="shared" si="3"/>
        <v>1.5386237736514374E-4</v>
      </c>
      <c r="G19">
        <f t="shared" si="3"/>
        <v>9.7645640974253212E-5</v>
      </c>
      <c r="H19">
        <f t="shared" si="4"/>
        <v>1.5386237736514374E-4</v>
      </c>
    </row>
    <row r="20" spans="1:8" x14ac:dyDescent="0.35">
      <c r="A20">
        <v>18</v>
      </c>
      <c r="B20">
        <f t="shared" si="0"/>
        <v>3.9999655767719604</v>
      </c>
      <c r="C20">
        <f t="shared" si="1"/>
        <v>2.9998946822927923</v>
      </c>
      <c r="D20">
        <f t="shared" si="2"/>
        <v>-2.9999331622505632</v>
      </c>
      <c r="E20">
        <f t="shared" si="3"/>
        <v>2.7814909111523178E-5</v>
      </c>
      <c r="F20">
        <f t="shared" si="3"/>
        <v>8.5099585965586755E-5</v>
      </c>
      <c r="G20">
        <f t="shared" si="3"/>
        <v>5.4006728353872546E-5</v>
      </c>
      <c r="H20">
        <f t="shared" si="4"/>
        <v>8.5099585965586755E-5</v>
      </c>
    </row>
    <row r="21" spans="1:8" x14ac:dyDescent="0.35">
      <c r="A21">
        <v>19</v>
      </c>
      <c r="B21">
        <f t="shared" si="0"/>
        <v>3.9999809608917793</v>
      </c>
      <c r="C21">
        <f t="shared" si="1"/>
        <v>2.9999417499363292</v>
      </c>
      <c r="D21">
        <f t="shared" si="2"/>
        <v>-2.9999630327770745</v>
      </c>
      <c r="E21">
        <f t="shared" si="3"/>
        <v>1.5384119818939723E-5</v>
      </c>
      <c r="F21">
        <f t="shared" si="3"/>
        <v>4.7067643536902182E-5</v>
      </c>
      <c r="G21">
        <f t="shared" si="3"/>
        <v>2.9870526511377449E-5</v>
      </c>
      <c r="H21">
        <f t="shared" si="4"/>
        <v>4.7067643536902182E-5</v>
      </c>
    </row>
    <row r="22" spans="1:8" x14ac:dyDescent="0.35">
      <c r="A22">
        <v>20</v>
      </c>
      <c r="B22">
        <f t="shared" si="0"/>
        <v>3.9999894696789791</v>
      </c>
      <c r="C22">
        <f t="shared" si="1"/>
        <v>2.9999677825314692</v>
      </c>
      <c r="D22">
        <f t="shared" si="2"/>
        <v>-2.9999795538362322</v>
      </c>
      <c r="E22">
        <f t="shared" si="3"/>
        <v>8.5087871997124864E-6</v>
      </c>
      <c r="F22">
        <f t="shared" si="3"/>
        <v>2.6032595140002002E-5</v>
      </c>
      <c r="G22">
        <f t="shared" si="3"/>
        <v>1.6521059157614815E-5</v>
      </c>
      <c r="H22">
        <f t="shared" si="4"/>
        <v>2.6032595140002002E-5</v>
      </c>
    </row>
    <row r="23" spans="1:8" x14ac:dyDescent="0.35">
      <c r="A23">
        <v>21</v>
      </c>
      <c r="B23">
        <f t="shared" si="0"/>
        <v>3.9999941757954462</v>
      </c>
      <c r="C23">
        <f t="shared" si="1"/>
        <v>2.9999821808730647</v>
      </c>
      <c r="D23">
        <f t="shared" si="2"/>
        <v>-2.9999886914520562</v>
      </c>
      <c r="E23">
        <f t="shared" si="3"/>
        <v>4.7061164671902134E-6</v>
      </c>
      <c r="F23">
        <f t="shared" si="3"/>
        <v>1.4398341595445174E-5</v>
      </c>
      <c r="G23">
        <f t="shared" si="3"/>
        <v>9.1376158239953043E-6</v>
      </c>
      <c r="H23">
        <f t="shared" si="4"/>
        <v>1.4398341595445174E-5</v>
      </c>
    </row>
    <row r="24" spans="1:8" x14ac:dyDescent="0.35">
      <c r="A24">
        <v>22</v>
      </c>
      <c r="B24">
        <f t="shared" si="0"/>
        <v>3.9999967786966213</v>
      </c>
      <c r="C24">
        <f t="shared" si="1"/>
        <v>2.9999901444371888</v>
      </c>
      <c r="D24">
        <f t="shared" si="2"/>
        <v>-2.9999937453667087</v>
      </c>
      <c r="E24">
        <f t="shared" si="3"/>
        <v>2.6029011750416942E-6</v>
      </c>
      <c r="F24">
        <f t="shared" si="3"/>
        <v>7.9635641241360133E-6</v>
      </c>
      <c r="G24">
        <f t="shared" si="3"/>
        <v>5.0539146525530043E-6</v>
      </c>
      <c r="H24">
        <f t="shared" si="4"/>
        <v>7.9635641241360133E-6</v>
      </c>
    </row>
    <row r="25" spans="1:8" x14ac:dyDescent="0.35">
      <c r="A25">
        <v>23</v>
      </c>
      <c r="B25">
        <f t="shared" si="0"/>
        <v>3.9999982183325877</v>
      </c>
      <c r="C25">
        <f t="shared" si="1"/>
        <v>2.9999945489967792</v>
      </c>
      <c r="D25">
        <f t="shared" si="2"/>
        <v>-2.9999965406312281</v>
      </c>
      <c r="E25">
        <f t="shared" si="3"/>
        <v>1.4396359664381464E-6</v>
      </c>
      <c r="F25">
        <f t="shared" si="3"/>
        <v>4.4045595903874357E-6</v>
      </c>
      <c r="G25">
        <f t="shared" si="3"/>
        <v>2.7952645194062598E-6</v>
      </c>
      <c r="H25">
        <f t="shared" si="4"/>
        <v>4.4045595903874357E-6</v>
      </c>
    </row>
    <row r="26" spans="1:8" x14ac:dyDescent="0.35">
      <c r="A26">
        <v>24</v>
      </c>
      <c r="B26">
        <f t="shared" si="0"/>
        <v>3.9999990145793811</v>
      </c>
      <c r="C26">
        <f t="shared" si="1"/>
        <v>2.9999969851101675</v>
      </c>
      <c r="D26">
        <f t="shared" si="2"/>
        <v>-2.9999980866612415</v>
      </c>
      <c r="E26">
        <f t="shared" si="3"/>
        <v>7.9624679338863302E-7</v>
      </c>
      <c r="F26">
        <f t="shared" si="3"/>
        <v>2.4361133883488151E-6</v>
      </c>
      <c r="G26">
        <f t="shared" si="3"/>
        <v>1.5460300133440796E-6</v>
      </c>
      <c r="H26">
        <f t="shared" si="4"/>
        <v>2.4361133883488151E-6</v>
      </c>
    </row>
    <row r="27" spans="1:8" x14ac:dyDescent="0.35">
      <c r="A27">
        <v>25</v>
      </c>
      <c r="B27">
        <f t="shared" si="0"/>
        <v>3.9999994549747115</v>
      </c>
      <c r="C27">
        <f t="shared" si="1"/>
        <v>2.9999983324976465</v>
      </c>
      <c r="D27">
        <f t="shared" si="2"/>
        <v>-2.9999989417534101</v>
      </c>
      <c r="E27">
        <f t="shared" si="3"/>
        <v>4.4039533042550261E-7</v>
      </c>
      <c r="F27">
        <f t="shared" si="3"/>
        <v>1.3473874789227125E-6</v>
      </c>
      <c r="G27">
        <f t="shared" si="3"/>
        <v>8.5509216862789117E-7</v>
      </c>
      <c r="H27">
        <f t="shared" si="4"/>
        <v>1.3473874789227125E-6</v>
      </c>
    </row>
    <row r="28" spans="1:8" x14ac:dyDescent="0.35">
      <c r="A28">
        <v>26</v>
      </c>
      <c r="B28">
        <f t="shared" si="0"/>
        <v>3.9999996985525166</v>
      </c>
      <c r="C28">
        <f t="shared" si="1"/>
        <v>2.9999990777228174</v>
      </c>
      <c r="D28">
        <f t="shared" si="2"/>
        <v>-2.9999994146954689</v>
      </c>
      <c r="E28">
        <f t="shared" si="3"/>
        <v>2.4357780503692084E-7</v>
      </c>
      <c r="F28">
        <f t="shared" si="3"/>
        <v>7.452251709061386E-7</v>
      </c>
      <c r="G28">
        <f t="shared" si="3"/>
        <v>4.7294205884895746E-7</v>
      </c>
      <c r="H28">
        <f t="shared" si="4"/>
        <v>7.452251709061386E-7</v>
      </c>
    </row>
    <row r="29" spans="1:8" x14ac:dyDescent="0.35">
      <c r="A29">
        <v>27</v>
      </c>
      <c r="B29">
        <f t="shared" si="0"/>
        <v>3.9999998332727174</v>
      </c>
      <c r="C29">
        <f t="shared" si="1"/>
        <v>2.9999994898986504</v>
      </c>
      <c r="D29">
        <f t="shared" si="2"/>
        <v>-2.9999996762745123</v>
      </c>
      <c r="E29">
        <f t="shared" si="3"/>
        <v>1.3472020077287539E-7</v>
      </c>
      <c r="F29">
        <f t="shared" si="3"/>
        <v>4.1217583302000094E-7</v>
      </c>
      <c r="G29">
        <f t="shared" si="3"/>
        <v>2.6157904331469695E-7</v>
      </c>
      <c r="H29">
        <f t="shared" si="4"/>
        <v>4.1217583302000094E-7</v>
      </c>
    </row>
    <row r="30" spans="1:8" x14ac:dyDescent="0.35">
      <c r="A30">
        <v>28</v>
      </c>
      <c r="B30">
        <f t="shared" si="0"/>
        <v>3.9999999077849773</v>
      </c>
      <c r="C30">
        <f t="shared" si="1"/>
        <v>2.9999997178685636</v>
      </c>
      <c r="D30">
        <f t="shared" si="2"/>
        <v>-2.9999998209509995</v>
      </c>
      <c r="E30">
        <f t="shared" si="3"/>
        <v>7.4512259917725032E-8</v>
      </c>
      <c r="F30">
        <f t="shared" si="3"/>
        <v>2.2796991316909043E-7</v>
      </c>
      <c r="G30">
        <f t="shared" si="3"/>
        <v>1.446764872348183E-7</v>
      </c>
      <c r="H30">
        <f t="shared" si="4"/>
        <v>2.2796991316909043E-7</v>
      </c>
    </row>
    <row r="31" spans="1:8" x14ac:dyDescent="0.35">
      <c r="A31">
        <v>29</v>
      </c>
      <c r="B31">
        <f t="shared" si="0"/>
        <v>3.9999999489968872</v>
      </c>
      <c r="C31">
        <f t="shared" si="1"/>
        <v>2.999999843956211</v>
      </c>
      <c r="D31">
        <f t="shared" si="2"/>
        <v>-2.9999999009699709</v>
      </c>
      <c r="E31">
        <f t="shared" si="3"/>
        <v>4.1211909884708575E-8</v>
      </c>
      <c r="F31">
        <f t="shared" si="3"/>
        <v>1.2608764743404777E-7</v>
      </c>
      <c r="G31">
        <f t="shared" si="3"/>
        <v>8.0018971448936327E-8</v>
      </c>
      <c r="H31">
        <f t="shared" si="4"/>
        <v>1.2608764743404777E-7</v>
      </c>
    </row>
    <row r="32" spans="1:8" x14ac:dyDescent="0.35">
      <c r="A32">
        <v>30</v>
      </c>
      <c r="B32">
        <f t="shared" si="0"/>
        <v>3.9999999717907402</v>
      </c>
      <c r="C32">
        <f t="shared" si="1"/>
        <v>2.9999999136939</v>
      </c>
      <c r="D32">
        <f t="shared" si="2"/>
        <v>-2.9999999452275823</v>
      </c>
      <c r="E32">
        <f t="shared" si="3"/>
        <v>2.2793853027280875E-8</v>
      </c>
      <c r="F32">
        <f t="shared" si="3"/>
        <v>6.9737688956905686E-8</v>
      </c>
      <c r="G32">
        <f t="shared" si="3"/>
        <v>4.4257611353515358E-8</v>
      </c>
      <c r="H32">
        <f t="shared" si="4"/>
        <v>6.9737688956905686E-8</v>
      </c>
    </row>
    <row r="33" spans="1:8" x14ac:dyDescent="0.35">
      <c r="A33">
        <v>31</v>
      </c>
      <c r="B33">
        <f t="shared" si="0"/>
        <v>3.9999999843977694</v>
      </c>
      <c r="C33">
        <f t="shared" si="1"/>
        <v>2.9999999522650471</v>
      </c>
      <c r="D33">
        <f t="shared" si="2"/>
        <v>-2.9999999697059789</v>
      </c>
      <c r="E33">
        <f t="shared" si="3"/>
        <v>1.2607029198363762E-8</v>
      </c>
      <c r="F33">
        <f t="shared" si="3"/>
        <v>3.8571147165100683E-8</v>
      </c>
      <c r="G33">
        <f t="shared" si="3"/>
        <v>2.4478396642990674E-8</v>
      </c>
      <c r="H33">
        <f t="shared" si="4"/>
        <v>3.8571147165100683E-8</v>
      </c>
    </row>
    <row r="34" spans="1:8" x14ac:dyDescent="0.35">
      <c r="A34">
        <v>32</v>
      </c>
      <c r="B34">
        <f t="shared" si="0"/>
        <v>3.9999999913705779</v>
      </c>
      <c r="C34">
        <f t="shared" si="1"/>
        <v>2.9999999735983232</v>
      </c>
      <c r="D34">
        <f t="shared" si="2"/>
        <v>-2.9999999832447108</v>
      </c>
      <c r="E34">
        <f t="shared" si="3"/>
        <v>6.9728085527742678E-9</v>
      </c>
      <c r="F34">
        <f t="shared" si="3"/>
        <v>2.1333276034596338E-8</v>
      </c>
      <c r="G34">
        <f t="shared" si="3"/>
        <v>1.3538731913342872E-8</v>
      </c>
      <c r="H34">
        <f t="shared" si="4"/>
        <v>2.1333276034596338E-8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5FBFC-78E0-41BA-9825-2E710549BB29}">
  <dimension ref="A1:P20"/>
  <sheetViews>
    <sheetView workbookViewId="0">
      <selection activeCell="D23" sqref="D23"/>
    </sheetView>
  </sheetViews>
  <sheetFormatPr defaultRowHeight="14.5" x14ac:dyDescent="0.35"/>
  <cols>
    <col min="1" max="1" width="11.26953125" bestFit="1" customWidth="1"/>
    <col min="10" max="10" width="23.26953125" bestFit="1" customWidth="1"/>
    <col min="11" max="11" width="12" bestFit="1" customWidth="1"/>
  </cols>
  <sheetData>
    <row r="1" spans="1:16" x14ac:dyDescent="0.35"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>
        <v>273.14999999999998</v>
      </c>
      <c r="K1" t="s">
        <v>98</v>
      </c>
      <c r="L1" t="s">
        <v>99</v>
      </c>
      <c r="M1" t="s">
        <v>100</v>
      </c>
      <c r="N1" t="s">
        <v>101</v>
      </c>
    </row>
    <row r="2" spans="1:16" x14ac:dyDescent="0.35">
      <c r="A2" t="s">
        <v>102</v>
      </c>
      <c r="D2">
        <v>1</v>
      </c>
      <c r="E2">
        <f>-40+273.15</f>
        <v>233.14999999999998</v>
      </c>
      <c r="F2">
        <v>148.72999999999999</v>
      </c>
      <c r="G2">
        <f>1/E2</f>
        <v>4.2890842805061126E-3</v>
      </c>
      <c r="H2">
        <f>LN(F2)</f>
        <v>5.0021325816045064</v>
      </c>
      <c r="I2">
        <f>G2*H2</f>
        <v>2.1454568224767347E-2</v>
      </c>
      <c r="K2">
        <f>G2^2</f>
        <v>1.8396243965284638E-5</v>
      </c>
      <c r="L2">
        <f>EXP(15.25615-2388.73/E2)</f>
        <v>150.00756207016659</v>
      </c>
      <c r="M2">
        <f>(F2-L2)^2</f>
        <v>1.6321648431283577</v>
      </c>
      <c r="N2">
        <f>(F2-$P$2)^2</f>
        <v>127553.14626736114</v>
      </c>
      <c r="O2" t="s">
        <v>103</v>
      </c>
      <c r="P2">
        <f>AVERAGE(F2:F13)</f>
        <v>505.87583333333333</v>
      </c>
    </row>
    <row r="3" spans="1:16" x14ac:dyDescent="0.35">
      <c r="A3" t="s">
        <v>104</v>
      </c>
      <c r="D3">
        <v>2</v>
      </c>
      <c r="E3">
        <f>-35+$J$1</f>
        <v>238.14999999999998</v>
      </c>
      <c r="F3">
        <v>185.45</v>
      </c>
      <c r="G3">
        <f t="shared" ref="G3:G13" si="0">1/E3</f>
        <v>4.1990342221289107E-3</v>
      </c>
      <c r="H3">
        <f t="shared" ref="H3:H13" si="1">LN(F3)</f>
        <v>5.2227853039355994</v>
      </c>
      <c r="I3">
        <f t="shared" ref="I3:I13" si="2">G3*H3</f>
        <v>2.1930654226057524E-2</v>
      </c>
      <c r="K3">
        <f t="shared" ref="K3:K13" si="3">G3^2</f>
        <v>1.7631888398609744E-5</v>
      </c>
      <c r="L3">
        <f t="shared" ref="L3:L13" si="4">EXP(15.25615-2388.73/E3)</f>
        <v>186.008241630697</v>
      </c>
      <c r="M3">
        <f t="shared" ref="M3:M13" si="5">(F3-L3)^2</f>
        <v>0.31163371824325881</v>
      </c>
      <c r="N3">
        <f t="shared" ref="N3:N13" si="6">(F3-$P$2)^2</f>
        <v>102672.71466736111</v>
      </c>
      <c r="O3" t="s">
        <v>105</v>
      </c>
      <c r="P3">
        <f>N14</f>
        <v>971961.63049166673</v>
      </c>
    </row>
    <row r="4" spans="1:16" x14ac:dyDescent="0.35">
      <c r="D4">
        <v>3</v>
      </c>
      <c r="E4">
        <f>-30+J1</f>
        <v>243.14999999999998</v>
      </c>
      <c r="F4">
        <v>228.85</v>
      </c>
      <c r="G4">
        <f t="shared" si="0"/>
        <v>4.1126876413736376E-3</v>
      </c>
      <c r="H4">
        <f t="shared" si="1"/>
        <v>5.4330667670996506</v>
      </c>
      <c r="I4">
        <f t="shared" si="2"/>
        <v>2.2344506547808556E-2</v>
      </c>
      <c r="K4">
        <f t="shared" si="3"/>
        <v>1.6914199635507453E-5</v>
      </c>
      <c r="L4">
        <f t="shared" si="4"/>
        <v>228.61735118376862</v>
      </c>
      <c r="M4">
        <f t="shared" si="5"/>
        <v>5.4125471693860151E-2</v>
      </c>
      <c r="N4">
        <f t="shared" si="6"/>
        <v>76743.312334027796</v>
      </c>
      <c r="O4" t="s">
        <v>106</v>
      </c>
      <c r="P4">
        <f>M14</f>
        <v>86.824064405495591</v>
      </c>
    </row>
    <row r="5" spans="1:16" x14ac:dyDescent="0.35">
      <c r="D5">
        <v>4</v>
      </c>
      <c r="E5">
        <f>-25+J1</f>
        <v>248.14999999999998</v>
      </c>
      <c r="F5">
        <v>279.64</v>
      </c>
      <c r="G5">
        <f t="shared" si="0"/>
        <v>4.0298206729800527E-3</v>
      </c>
      <c r="H5">
        <f t="shared" si="1"/>
        <v>5.6335030616437844</v>
      </c>
      <c r="I5">
        <f t="shared" si="2"/>
        <v>2.2702007099108544E-2</v>
      </c>
      <c r="K5">
        <f t="shared" si="3"/>
        <v>1.6239454656377405E-5</v>
      </c>
      <c r="L5">
        <f t="shared" si="4"/>
        <v>278.66113223881871</v>
      </c>
      <c r="M5">
        <f t="shared" si="5"/>
        <v>0.95818209388004605</v>
      </c>
      <c r="N5">
        <f t="shared" si="6"/>
        <v>51182.652284027783</v>
      </c>
      <c r="O5" t="s">
        <v>107</v>
      </c>
      <c r="P5">
        <f>(P3-P4)/P3</f>
        <v>0.99991067130462585</v>
      </c>
    </row>
    <row r="6" spans="1:16" x14ac:dyDescent="0.35">
      <c r="D6">
        <v>5</v>
      </c>
      <c r="E6">
        <f>-20+J1</f>
        <v>253.14999999999998</v>
      </c>
      <c r="F6">
        <v>338.65</v>
      </c>
      <c r="G6">
        <f t="shared" si="0"/>
        <v>3.9502271380604387E-3</v>
      </c>
      <c r="H6">
        <f t="shared" si="1"/>
        <v>5.8249671256609128</v>
      </c>
      <c r="I6">
        <f t="shared" si="2"/>
        <v>2.3009943218095647E-2</v>
      </c>
      <c r="K6">
        <f t="shared" si="3"/>
        <v>1.5604294442269166E-5</v>
      </c>
      <c r="L6">
        <f t="shared" si="4"/>
        <v>337.01381665927994</v>
      </c>
      <c r="M6">
        <f t="shared" si="5"/>
        <v>2.6770959244497838</v>
      </c>
      <c r="N6">
        <f t="shared" si="6"/>
        <v>27964.479334027787</v>
      </c>
    </row>
    <row r="7" spans="1:16" x14ac:dyDescent="0.35">
      <c r="D7">
        <v>6</v>
      </c>
      <c r="E7">
        <f>-15+J1</f>
        <v>258.14999999999998</v>
      </c>
      <c r="F7">
        <v>406.69</v>
      </c>
      <c r="G7">
        <f t="shared" si="0"/>
        <v>3.8737168312996321E-3</v>
      </c>
      <c r="H7">
        <f t="shared" si="1"/>
        <v>6.0080512244623732</v>
      </c>
      <c r="I7">
        <f t="shared" si="2"/>
        <v>2.3273489151510261E-2</v>
      </c>
      <c r="K7">
        <f t="shared" si="3"/>
        <v>1.5005682089094063E-5</v>
      </c>
      <c r="L7">
        <f t="shared" si="4"/>
        <v>404.59492992280599</v>
      </c>
      <c r="M7">
        <f t="shared" si="5"/>
        <v>4.3893186283537116</v>
      </c>
      <c r="N7">
        <f t="shared" si="6"/>
        <v>9837.8295340277782</v>
      </c>
    </row>
    <row r="8" spans="1:16" x14ac:dyDescent="0.35">
      <c r="D8">
        <v>7</v>
      </c>
      <c r="E8">
        <f>-10+J1</f>
        <v>263.14999999999998</v>
      </c>
      <c r="F8">
        <v>484.58</v>
      </c>
      <c r="G8">
        <f t="shared" si="0"/>
        <v>3.800114003420103E-3</v>
      </c>
      <c r="H8">
        <f t="shared" si="1"/>
        <v>6.1832825363792825</v>
      </c>
      <c r="I8">
        <f t="shared" si="2"/>
        <v>2.3497178553597883E-2</v>
      </c>
      <c r="K8">
        <f t="shared" si="3"/>
        <v>1.4440866438989563E-5</v>
      </c>
      <c r="L8">
        <f t="shared" si="4"/>
        <v>482.3662482303871</v>
      </c>
      <c r="M8">
        <f t="shared" si="5"/>
        <v>4.9006968974641749</v>
      </c>
      <c r="N8">
        <f t="shared" si="6"/>
        <v>453.51251736111175</v>
      </c>
    </row>
    <row r="9" spans="1:16" x14ac:dyDescent="0.35">
      <c r="D9">
        <v>8</v>
      </c>
      <c r="E9">
        <f>-5+J1</f>
        <v>268.14999999999998</v>
      </c>
      <c r="F9">
        <v>573.19000000000005</v>
      </c>
      <c r="G9">
        <f t="shared" si="0"/>
        <v>3.7292560134253219E-3</v>
      </c>
      <c r="H9">
        <f t="shared" si="1"/>
        <v>6.3512172498841801</v>
      </c>
      <c r="I9">
        <f t="shared" si="2"/>
        <v>2.3685315121701214E-2</v>
      </c>
      <c r="K9">
        <f t="shared" si="3"/>
        <v>1.3907350413668924E-5</v>
      </c>
      <c r="L9">
        <f t="shared" si="4"/>
        <v>571.32846134390866</v>
      </c>
      <c r="M9">
        <f t="shared" si="5"/>
        <v>3.4653261681225667</v>
      </c>
      <c r="N9">
        <f t="shared" si="6"/>
        <v>4531.1970340277849</v>
      </c>
    </row>
    <row r="10" spans="1:16" x14ac:dyDescent="0.35">
      <c r="D10">
        <v>9</v>
      </c>
      <c r="E10">
        <f>+J1</f>
        <v>273.14999999999998</v>
      </c>
      <c r="F10">
        <v>673.4</v>
      </c>
      <c r="G10">
        <f t="shared" si="0"/>
        <v>3.6609921288669233E-3</v>
      </c>
      <c r="H10">
        <f t="shared" si="1"/>
        <v>6.512339506726974</v>
      </c>
      <c r="I10">
        <f t="shared" si="2"/>
        <v>2.3841623674636554E-2</v>
      </c>
      <c r="K10">
        <f t="shared" si="3"/>
        <v>1.3402863367625568E-5</v>
      </c>
      <c r="L10">
        <f t="shared" si="4"/>
        <v>672.51759319039422</v>
      </c>
      <c r="M10">
        <f t="shared" si="5"/>
        <v>0.7786417776386062</v>
      </c>
      <c r="N10">
        <f t="shared" si="6"/>
        <v>28064.346417361103</v>
      </c>
    </row>
    <row r="11" spans="1:16" x14ac:dyDescent="0.35">
      <c r="D11">
        <v>10</v>
      </c>
      <c r="E11">
        <f>5+J1</f>
        <v>278.14999999999998</v>
      </c>
      <c r="F11">
        <v>786.13</v>
      </c>
      <c r="G11">
        <f t="shared" si="0"/>
        <v>3.5951824555096176E-3</v>
      </c>
      <c r="H11">
        <f t="shared" si="1"/>
        <v>6.6671221731550956</v>
      </c>
      <c r="I11">
        <f t="shared" si="2"/>
        <v>2.3969520665666353E-2</v>
      </c>
      <c r="K11">
        <f t="shared" si="3"/>
        <v>1.2925336888404164E-5</v>
      </c>
      <c r="L11">
        <f t="shared" si="4"/>
        <v>787.00123136721891</v>
      </c>
      <c r="M11">
        <f t="shared" si="5"/>
        <v>0.75904409522613325</v>
      </c>
      <c r="N11">
        <f t="shared" si="6"/>
        <v>78542.397934027773</v>
      </c>
    </row>
    <row r="12" spans="1:16" x14ac:dyDescent="0.35">
      <c r="D12">
        <v>11</v>
      </c>
      <c r="E12">
        <f>10+J1</f>
        <v>283.14999999999998</v>
      </c>
      <c r="F12">
        <v>912.3</v>
      </c>
      <c r="G12">
        <f t="shared" si="0"/>
        <v>3.5316969803990822E-3</v>
      </c>
      <c r="H12">
        <f t="shared" si="1"/>
        <v>6.8159688833514283</v>
      </c>
      <c r="I12">
        <f t="shared" si="2"/>
        <v>2.4071936723826345E-2</v>
      </c>
      <c r="K12">
        <f t="shared" si="3"/>
        <v>1.2472883561359995E-5</v>
      </c>
      <c r="L12">
        <f t="shared" si="4"/>
        <v>915.87461490319447</v>
      </c>
      <c r="M12">
        <f t="shared" si="5"/>
        <v>12.777871706140333</v>
      </c>
      <c r="N12">
        <f t="shared" si="6"/>
        <v>165180.6032506944</v>
      </c>
    </row>
    <row r="13" spans="1:16" x14ac:dyDescent="0.35">
      <c r="D13">
        <v>12</v>
      </c>
      <c r="E13">
        <f>15+J1</f>
        <v>288.14999999999998</v>
      </c>
      <c r="F13">
        <v>1052.9000000000001</v>
      </c>
      <c r="G13">
        <f t="shared" si="0"/>
        <v>3.4704147145583901E-3</v>
      </c>
      <c r="H13">
        <f t="shared" si="1"/>
        <v>6.959303540862714</v>
      </c>
      <c r="I13">
        <f t="shared" si="2"/>
        <v>2.4151669411288268E-2</v>
      </c>
      <c r="K13">
        <f t="shared" si="3"/>
        <v>1.2043778291023392E-5</v>
      </c>
      <c r="L13">
        <f t="shared" si="4"/>
        <v>1060.2566271538767</v>
      </c>
      <c r="M13">
        <f t="shared" si="5"/>
        <v>54.119963081154758</v>
      </c>
      <c r="N13">
        <f t="shared" si="6"/>
        <v>299235.43891736126</v>
      </c>
    </row>
    <row r="14" spans="1:16" x14ac:dyDescent="0.35">
      <c r="D14" t="s">
        <v>108</v>
      </c>
      <c r="E14">
        <f>SUM(E2:E13)</f>
        <v>3127.8000000000006</v>
      </c>
      <c r="F14">
        <f t="shared" ref="F14:N14" si="7">SUM(F2:F13)</f>
        <v>6070.51</v>
      </c>
      <c r="G14">
        <f t="shared" si="7"/>
        <v>4.6242227082528231E-2</v>
      </c>
      <c r="H14">
        <f t="shared" si="7"/>
        <v>72.613739954766501</v>
      </c>
      <c r="I14">
        <f t="shared" si="7"/>
        <v>0.27793241261806451</v>
      </c>
      <c r="J14">
        <f t="shared" si="7"/>
        <v>0</v>
      </c>
      <c r="K14">
        <f t="shared" si="7"/>
        <v>1.7898484214821413E-4</v>
      </c>
      <c r="L14">
        <f t="shared" si="7"/>
        <v>6074.2478098945157</v>
      </c>
      <c r="M14">
        <f t="shared" si="7"/>
        <v>86.824064405495591</v>
      </c>
      <c r="N14">
        <f t="shared" si="7"/>
        <v>971961.63049166673</v>
      </c>
    </row>
    <row r="16" spans="1:16" x14ac:dyDescent="0.35">
      <c r="D16">
        <f>D13</f>
        <v>12</v>
      </c>
      <c r="E16">
        <f>G14</f>
        <v>4.6242227082528231E-2</v>
      </c>
      <c r="F16" t="s">
        <v>109</v>
      </c>
      <c r="G16">
        <f>H14</f>
        <v>72.613739954766501</v>
      </c>
      <c r="I16" cm="1">
        <f t="array" ref="I16:J17">MINVERSE(D16:E17)</f>
        <v>18.891137497977525</v>
      </c>
      <c r="J16">
        <v>-4880.6829647918157</v>
      </c>
      <c r="K16" t="s">
        <v>110</v>
      </c>
      <c r="L16" s="9" cm="1">
        <f t="array" ref="L16:L17">MMULT(_xlfn.ANCHORARRAY(I16),G16:G17)</f>
        <v>15.256154099400874</v>
      </c>
    </row>
    <row r="17" spans="4:12" x14ac:dyDescent="0.35">
      <c r="D17">
        <f>G14</f>
        <v>4.6242227082528231E-2</v>
      </c>
      <c r="E17">
        <f>K14</f>
        <v>1.7898484214821413E-4</v>
      </c>
      <c r="F17" t="s">
        <v>111</v>
      </c>
      <c r="G17">
        <f>I14</f>
        <v>0.27793241261806451</v>
      </c>
      <c r="I17">
        <v>-4880.6829647918157</v>
      </c>
      <c r="J17">
        <v>1266552.2245063039</v>
      </c>
      <c r="K17" t="s">
        <v>112</v>
      </c>
      <c r="L17" s="9">
        <v>-2388.7281432381715</v>
      </c>
    </row>
    <row r="19" spans="4:12" x14ac:dyDescent="0.35">
      <c r="J19" s="17" t="s">
        <v>113</v>
      </c>
    </row>
    <row r="20" spans="4:12" x14ac:dyDescent="0.35">
      <c r="J20" s="17" t="s">
        <v>114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0F8A0-8BB0-47F3-AD2A-A813413CCC85}">
  <dimension ref="A1:X31"/>
  <sheetViews>
    <sheetView tabSelected="1" workbookViewId="0">
      <selection activeCell="D20" sqref="D20"/>
    </sheetView>
  </sheetViews>
  <sheetFormatPr defaultRowHeight="14.5" x14ac:dyDescent="0.35"/>
  <cols>
    <col min="6" max="6" width="4.1796875" customWidth="1"/>
    <col min="7" max="7" width="14.54296875" bestFit="1" customWidth="1"/>
    <col min="9" max="9" width="13.1796875" bestFit="1" customWidth="1"/>
    <col min="15" max="15" width="16.81640625" bestFit="1" customWidth="1"/>
    <col min="16" max="16" width="3.26953125" customWidth="1"/>
    <col min="19" max="19" width="11" bestFit="1" customWidth="1"/>
    <col min="23" max="23" width="10" bestFit="1" customWidth="1"/>
  </cols>
  <sheetData>
    <row r="1" spans="1:24" x14ac:dyDescent="0.35">
      <c r="A1" t="s">
        <v>53</v>
      </c>
      <c r="B1" t="s">
        <v>115</v>
      </c>
      <c r="C1" t="s">
        <v>116</v>
      </c>
      <c r="D1" t="s">
        <v>117</v>
      </c>
      <c r="E1" t="s">
        <v>118</v>
      </c>
      <c r="F1" s="18"/>
      <c r="G1" t="s">
        <v>53</v>
      </c>
      <c r="H1" t="s">
        <v>119</v>
      </c>
      <c r="I1" t="s">
        <v>120</v>
      </c>
      <c r="J1" t="s">
        <v>98</v>
      </c>
      <c r="K1" t="s">
        <v>97</v>
      </c>
      <c r="L1" t="s">
        <v>121</v>
      </c>
      <c r="M1" t="s">
        <v>122</v>
      </c>
      <c r="O1" t="s">
        <v>123</v>
      </c>
      <c r="P1" s="18"/>
      <c r="Q1" t="s">
        <v>53</v>
      </c>
      <c r="R1" t="s">
        <v>124</v>
      </c>
      <c r="S1" t="s">
        <v>125</v>
      </c>
      <c r="T1" t="s">
        <v>126</v>
      </c>
      <c r="U1" t="s">
        <v>127</v>
      </c>
      <c r="V1" t="s">
        <v>128</v>
      </c>
      <c r="W1" t="s">
        <v>129</v>
      </c>
      <c r="X1" t="s">
        <v>130</v>
      </c>
    </row>
    <row r="2" spans="1:24" x14ac:dyDescent="0.35">
      <c r="A2">
        <v>1</v>
      </c>
      <c r="B2">
        <v>0</v>
      </c>
      <c r="C2">
        <v>125</v>
      </c>
      <c r="D2">
        <f>B2*B2</f>
        <v>0</v>
      </c>
      <c r="E2">
        <f>B2*C2</f>
        <v>0</v>
      </c>
      <c r="F2" s="18"/>
      <c r="G2">
        <v>1</v>
      </c>
      <c r="H2">
        <v>0.5</v>
      </c>
      <c r="I2">
        <v>2500</v>
      </c>
      <c r="J2">
        <f>H2*H2</f>
        <v>0.25</v>
      </c>
      <c r="K2">
        <f>H2*I2</f>
        <v>1250</v>
      </c>
      <c r="L2">
        <f>(I2-(2646.951-289.024*H2))^2</f>
        <v>5.9487209999992725</v>
      </c>
      <c r="M2">
        <f>(I2-O2)^2</f>
        <v>211600</v>
      </c>
      <c r="O2">
        <f>AVERAGE(I2:I6)</f>
        <v>2040</v>
      </c>
      <c r="P2" s="18"/>
      <c r="Q2">
        <v>1</v>
      </c>
      <c r="R2">
        <v>100</v>
      </c>
      <c r="S2">
        <v>79</v>
      </c>
      <c r="T2">
        <f>R2*R2</f>
        <v>10000</v>
      </c>
      <c r="U2">
        <f>R2*S2</f>
        <v>7900</v>
      </c>
      <c r="V2">
        <f>T2*R2</f>
        <v>1000000</v>
      </c>
      <c r="W2">
        <f>V2*R2</f>
        <v>100000000</v>
      </c>
      <c r="X2">
        <f>T2*S2</f>
        <v>790000</v>
      </c>
    </row>
    <row r="3" spans="1:24" x14ac:dyDescent="0.35">
      <c r="A3">
        <v>2</v>
      </c>
      <c r="B3">
        <v>20</v>
      </c>
      <c r="C3">
        <v>117</v>
      </c>
      <c r="D3">
        <f t="shared" ref="D3:D9" si="0">B3*B3</f>
        <v>400</v>
      </c>
      <c r="E3">
        <f t="shared" ref="E3:E9" si="1">B3*C3</f>
        <v>2340</v>
      </c>
      <c r="F3" s="18"/>
      <c r="G3">
        <v>2</v>
      </c>
      <c r="H3">
        <v>1</v>
      </c>
      <c r="I3">
        <v>2400</v>
      </c>
      <c r="J3">
        <f t="shared" ref="J3:J6" si="2">H3*H3</f>
        <v>1</v>
      </c>
      <c r="K3">
        <f t="shared" ref="K3:K6" si="3">H3*I3</f>
        <v>2400</v>
      </c>
      <c r="L3">
        <f t="shared" ref="L3:L6" si="4">(I3-(2646.951-289.024*H3))^2</f>
        <v>1770.1373289999888</v>
      </c>
      <c r="M3">
        <f t="shared" ref="M3:M6" si="5">(I3-O3)^2</f>
        <v>5760000</v>
      </c>
      <c r="P3" s="18"/>
      <c r="Q3">
        <v>2</v>
      </c>
      <c r="R3">
        <v>120</v>
      </c>
      <c r="S3">
        <v>28</v>
      </c>
      <c r="T3">
        <f t="shared" ref="T3:T5" si="6">R3*R3</f>
        <v>14400</v>
      </c>
      <c r="U3">
        <f t="shared" ref="U3:U5" si="7">R3*S3</f>
        <v>3360</v>
      </c>
      <c r="V3">
        <f t="shared" ref="V3:V5" si="8">T3*R3</f>
        <v>1728000</v>
      </c>
      <c r="W3">
        <f t="shared" ref="W3:W5" si="9">V3*R3</f>
        <v>207360000</v>
      </c>
      <c r="X3">
        <f t="shared" ref="X3:X5" si="10">T3*S3</f>
        <v>403200</v>
      </c>
    </row>
    <row r="4" spans="1:24" x14ac:dyDescent="0.35">
      <c r="A4">
        <v>3</v>
      </c>
      <c r="B4">
        <v>42</v>
      </c>
      <c r="C4">
        <v>110</v>
      </c>
      <c r="D4">
        <f t="shared" si="0"/>
        <v>1764</v>
      </c>
      <c r="E4">
        <f t="shared" si="1"/>
        <v>4620</v>
      </c>
      <c r="F4" s="18"/>
      <c r="G4">
        <v>3</v>
      </c>
      <c r="H4">
        <v>2</v>
      </c>
      <c r="I4">
        <v>2000</v>
      </c>
      <c r="J4">
        <f t="shared" si="2"/>
        <v>4</v>
      </c>
      <c r="K4">
        <f t="shared" si="3"/>
        <v>4000</v>
      </c>
      <c r="L4">
        <f t="shared" si="4"/>
        <v>4747.6234090000344</v>
      </c>
      <c r="M4">
        <f t="shared" si="5"/>
        <v>4000000</v>
      </c>
      <c r="N4" t="s">
        <v>107</v>
      </c>
      <c r="P4" s="18"/>
      <c r="Q4">
        <v>3</v>
      </c>
      <c r="R4">
        <v>150</v>
      </c>
      <c r="S4">
        <v>7.9</v>
      </c>
      <c r="T4">
        <f t="shared" si="6"/>
        <v>22500</v>
      </c>
      <c r="U4">
        <f t="shared" si="7"/>
        <v>1185</v>
      </c>
      <c r="V4">
        <f t="shared" si="8"/>
        <v>3375000</v>
      </c>
      <c r="W4">
        <f t="shared" si="9"/>
        <v>506250000</v>
      </c>
      <c r="X4">
        <f t="shared" si="10"/>
        <v>177750</v>
      </c>
    </row>
    <row r="5" spans="1:24" x14ac:dyDescent="0.35">
      <c r="A5">
        <v>4</v>
      </c>
      <c r="B5">
        <v>60</v>
      </c>
      <c r="C5">
        <v>94</v>
      </c>
      <c r="D5">
        <f t="shared" si="0"/>
        <v>3600</v>
      </c>
      <c r="E5">
        <f t="shared" si="1"/>
        <v>5640</v>
      </c>
      <c r="F5" s="18"/>
      <c r="G5">
        <v>4</v>
      </c>
      <c r="H5">
        <v>3</v>
      </c>
      <c r="I5">
        <v>1800</v>
      </c>
      <c r="J5">
        <f t="shared" si="2"/>
        <v>9</v>
      </c>
      <c r="K5">
        <f t="shared" si="3"/>
        <v>5400</v>
      </c>
      <c r="L5">
        <f t="shared" si="4"/>
        <v>404.85464100000382</v>
      </c>
      <c r="M5">
        <f t="shared" si="5"/>
        <v>3240000</v>
      </c>
      <c r="P5" s="18"/>
      <c r="Q5">
        <v>4</v>
      </c>
      <c r="R5">
        <v>180</v>
      </c>
      <c r="S5">
        <v>2.8</v>
      </c>
      <c r="T5">
        <f t="shared" si="6"/>
        <v>32400</v>
      </c>
      <c r="U5">
        <f t="shared" si="7"/>
        <v>503.99999999999994</v>
      </c>
      <c r="V5">
        <f t="shared" si="8"/>
        <v>5832000</v>
      </c>
      <c r="W5">
        <f t="shared" si="9"/>
        <v>1049760000</v>
      </c>
      <c r="X5">
        <f t="shared" si="10"/>
        <v>90720</v>
      </c>
    </row>
    <row r="6" spans="1:24" x14ac:dyDescent="0.35">
      <c r="A6">
        <v>5</v>
      </c>
      <c r="B6">
        <v>78</v>
      </c>
      <c r="C6">
        <v>90</v>
      </c>
      <c r="D6">
        <f t="shared" si="0"/>
        <v>6084</v>
      </c>
      <c r="E6">
        <f t="shared" si="1"/>
        <v>7020</v>
      </c>
      <c r="F6" s="18"/>
      <c r="G6">
        <v>5</v>
      </c>
      <c r="H6">
        <v>4</v>
      </c>
      <c r="I6">
        <v>1500</v>
      </c>
      <c r="J6">
        <f t="shared" si="2"/>
        <v>16</v>
      </c>
      <c r="K6">
        <f t="shared" si="3"/>
        <v>6000</v>
      </c>
      <c r="L6">
        <f t="shared" si="4"/>
        <v>83.631024999999667</v>
      </c>
      <c r="M6">
        <f t="shared" si="5"/>
        <v>2250000</v>
      </c>
      <c r="P6" s="18"/>
      <c r="Q6" t="s">
        <v>108</v>
      </c>
      <c r="R6">
        <f>SUM(R2:R5)</f>
        <v>550</v>
      </c>
      <c r="S6">
        <f>SUM(S2:S5)</f>
        <v>117.7</v>
      </c>
      <c r="T6">
        <f>SUM(T2:T5)</f>
        <v>79300</v>
      </c>
      <c r="U6">
        <f>SUM(U2:U5)</f>
        <v>12949</v>
      </c>
      <c r="V6">
        <f t="shared" ref="V6:X6" si="11">SUM(V2:V5)</f>
        <v>11935000</v>
      </c>
      <c r="W6">
        <f t="shared" si="11"/>
        <v>1863370000</v>
      </c>
      <c r="X6">
        <f t="shared" si="11"/>
        <v>1461670</v>
      </c>
    </row>
    <row r="7" spans="1:24" x14ac:dyDescent="0.35">
      <c r="A7">
        <v>6</v>
      </c>
      <c r="B7">
        <v>100</v>
      </c>
      <c r="C7">
        <v>83</v>
      </c>
      <c r="D7">
        <f t="shared" si="0"/>
        <v>10000</v>
      </c>
      <c r="E7">
        <f t="shared" si="1"/>
        <v>8300</v>
      </c>
      <c r="F7" s="18"/>
      <c r="G7" t="s">
        <v>108</v>
      </c>
      <c r="H7">
        <f t="shared" ref="H7:M7" si="12">SUM(H2:H6)</f>
        <v>10.5</v>
      </c>
      <c r="I7">
        <f t="shared" si="12"/>
        <v>10200</v>
      </c>
      <c r="J7">
        <f t="shared" si="12"/>
        <v>30.25</v>
      </c>
      <c r="K7">
        <f t="shared" si="12"/>
        <v>19050</v>
      </c>
      <c r="L7">
        <f t="shared" si="12"/>
        <v>7012.1951250000257</v>
      </c>
      <c r="M7">
        <f t="shared" si="12"/>
        <v>15461600</v>
      </c>
      <c r="P7" s="18"/>
    </row>
    <row r="8" spans="1:24" x14ac:dyDescent="0.35">
      <c r="A8">
        <v>7</v>
      </c>
      <c r="B8">
        <v>120</v>
      </c>
      <c r="C8">
        <v>75</v>
      </c>
      <c r="D8">
        <f t="shared" si="0"/>
        <v>14400</v>
      </c>
      <c r="E8">
        <f t="shared" si="1"/>
        <v>9000</v>
      </c>
      <c r="F8" s="18"/>
      <c r="N8">
        <f>(M7-L7)/M7</f>
        <v>0.99954647674723185</v>
      </c>
      <c r="P8" s="18"/>
      <c r="Q8" t="s">
        <v>92</v>
      </c>
      <c r="R8" t="s">
        <v>131</v>
      </c>
      <c r="S8" t="s">
        <v>132</v>
      </c>
      <c r="T8" t="s">
        <v>133</v>
      </c>
      <c r="U8" t="s">
        <v>134</v>
      </c>
    </row>
    <row r="9" spans="1:24" x14ac:dyDescent="0.35">
      <c r="A9">
        <v>8</v>
      </c>
      <c r="B9">
        <v>140</v>
      </c>
      <c r="C9">
        <v>60</v>
      </c>
      <c r="D9">
        <f t="shared" si="0"/>
        <v>19600</v>
      </c>
      <c r="E9">
        <f t="shared" si="1"/>
        <v>8400</v>
      </c>
      <c r="F9" s="18"/>
      <c r="G9" t="s">
        <v>92</v>
      </c>
      <c r="H9" t="s">
        <v>131</v>
      </c>
      <c r="I9" t="s">
        <v>133</v>
      </c>
      <c r="J9" t="s">
        <v>134</v>
      </c>
      <c r="P9" s="18"/>
      <c r="Q9" t="s">
        <v>131</v>
      </c>
      <c r="R9" t="s">
        <v>132</v>
      </c>
      <c r="S9" t="s">
        <v>135</v>
      </c>
      <c r="T9" t="s">
        <v>136</v>
      </c>
      <c r="U9" t="s">
        <v>137</v>
      </c>
    </row>
    <row r="10" spans="1:24" x14ac:dyDescent="0.35">
      <c r="A10" t="s">
        <v>108</v>
      </c>
      <c r="B10">
        <f>SUM(B2:B9)</f>
        <v>560</v>
      </c>
      <c r="C10">
        <f>SUM(C2:C9)</f>
        <v>754</v>
      </c>
      <c r="D10">
        <f>SUM(D2:D9)</f>
        <v>55848</v>
      </c>
      <c r="E10">
        <f>SUM(E2:E9)</f>
        <v>45320</v>
      </c>
      <c r="F10" s="18"/>
      <c r="G10" t="s">
        <v>131</v>
      </c>
      <c r="H10" t="s">
        <v>132</v>
      </c>
      <c r="I10" t="s">
        <v>136</v>
      </c>
      <c r="J10" t="s">
        <v>138</v>
      </c>
      <c r="P10" s="18"/>
      <c r="Q10" t="s">
        <v>132</v>
      </c>
      <c r="R10" t="s">
        <v>135</v>
      </c>
      <c r="S10" t="s">
        <v>139</v>
      </c>
      <c r="T10" t="s">
        <v>140</v>
      </c>
      <c r="U10" t="s">
        <v>141</v>
      </c>
    </row>
    <row r="11" spans="1:24" x14ac:dyDescent="0.35">
      <c r="F11" s="18"/>
      <c r="P11" s="18"/>
    </row>
    <row r="12" spans="1:24" x14ac:dyDescent="0.35">
      <c r="A12" t="s">
        <v>92</v>
      </c>
      <c r="B12" t="s">
        <v>142</v>
      </c>
      <c r="C12" t="s">
        <v>133</v>
      </c>
      <c r="D12" t="s">
        <v>143</v>
      </c>
      <c r="F12" s="18"/>
      <c r="G12">
        <f>G6</f>
        <v>5</v>
      </c>
      <c r="H12">
        <f>H7</f>
        <v>10.5</v>
      </c>
      <c r="I12" t="s">
        <v>133</v>
      </c>
      <c r="J12">
        <f>I7</f>
        <v>10200</v>
      </c>
      <c r="M12" cm="1">
        <f t="array" ref="M12:N13">MINVERSE(G12:H13)</f>
        <v>0.73780487804878081</v>
      </c>
      <c r="N12">
        <v>-0.25609756097560987</v>
      </c>
      <c r="P12" s="18"/>
      <c r="Q12">
        <f>Q5</f>
        <v>4</v>
      </c>
      <c r="R12">
        <f>R6</f>
        <v>550</v>
      </c>
      <c r="S12">
        <f>T6</f>
        <v>79300</v>
      </c>
      <c r="T12" t="s">
        <v>133</v>
      </c>
      <c r="U12">
        <f>S6</f>
        <v>117.7</v>
      </c>
    </row>
    <row r="13" spans="1:24" x14ac:dyDescent="0.35">
      <c r="A13" t="s">
        <v>142</v>
      </c>
      <c r="B13" t="s">
        <v>144</v>
      </c>
      <c r="C13" t="s">
        <v>136</v>
      </c>
      <c r="D13" t="s">
        <v>145</v>
      </c>
      <c r="F13" s="18"/>
      <c r="G13">
        <f>H7</f>
        <v>10.5</v>
      </c>
      <c r="H13">
        <f>J7</f>
        <v>30.25</v>
      </c>
      <c r="I13" t="s">
        <v>136</v>
      </c>
      <c r="J13">
        <f>K7</f>
        <v>19050</v>
      </c>
      <c r="M13">
        <v>-0.25609756097560987</v>
      </c>
      <c r="N13">
        <v>0.12195121951219516</v>
      </c>
      <c r="P13" s="18"/>
      <c r="Q13">
        <f>R6</f>
        <v>550</v>
      </c>
      <c r="R13">
        <f>T6</f>
        <v>79300</v>
      </c>
      <c r="S13">
        <f>V6</f>
        <v>11935000</v>
      </c>
      <c r="T13" t="s">
        <v>136</v>
      </c>
      <c r="U13">
        <f>U6</f>
        <v>12949</v>
      </c>
    </row>
    <row r="14" spans="1:24" x14ac:dyDescent="0.35">
      <c r="F14" s="18"/>
      <c r="P14" s="18"/>
      <c r="Q14">
        <f>T6</f>
        <v>79300</v>
      </c>
      <c r="R14">
        <f>V6</f>
        <v>11935000</v>
      </c>
      <c r="S14">
        <f>W6</f>
        <v>1863370000</v>
      </c>
      <c r="T14" t="s">
        <v>140</v>
      </c>
      <c r="U14">
        <f>X6</f>
        <v>1461670</v>
      </c>
    </row>
    <row r="15" spans="1:24" x14ac:dyDescent="0.35">
      <c r="A15">
        <v>8</v>
      </c>
      <c r="B15">
        <v>560</v>
      </c>
      <c r="C15" t="s">
        <v>133</v>
      </c>
      <c r="D15">
        <v>754</v>
      </c>
      <c r="F15" s="18"/>
      <c r="G15" t="s">
        <v>146</v>
      </c>
      <c r="H15">
        <v>10200</v>
      </c>
      <c r="L15" s="9" t="s">
        <v>147</v>
      </c>
      <c r="M15" s="9" cm="1">
        <f t="array" ref="M15:M16">MMULT(_xlfn.ANCHORARRAY(M12),J12:J13)</f>
        <v>2646.9512195121961</v>
      </c>
      <c r="P15" s="18"/>
    </row>
    <row r="16" spans="1:24" x14ac:dyDescent="0.35">
      <c r="A16">
        <v>560</v>
      </c>
      <c r="B16">
        <v>55848</v>
      </c>
      <c r="C16" t="s">
        <v>136</v>
      </c>
      <c r="D16">
        <v>45320</v>
      </c>
      <c r="F16" s="18"/>
      <c r="G16" t="s">
        <v>148</v>
      </c>
      <c r="H16">
        <v>19050</v>
      </c>
      <c r="L16" s="9" t="s">
        <v>149</v>
      </c>
      <c r="M16" s="9">
        <v>-289.02439024390287</v>
      </c>
      <c r="P16" s="18"/>
      <c r="Q16" cm="1">
        <f t="array" ref="Q16:S18">MINVERSE(Q12:S14)</f>
        <v>193.97112860894336</v>
      </c>
      <c r="R16">
        <v>-2.8582677165357171</v>
      </c>
      <c r="S16">
        <v>1.0052493438321203E-2</v>
      </c>
      <c r="U16" s="9" t="s">
        <v>147</v>
      </c>
      <c r="V16" s="9" cm="1">
        <f t="array" ref="V16:V18">MMULT(_xlfn.ANCHORARRAY(Q16),U12:U14)</f>
        <v>512.12125984259001</v>
      </c>
    </row>
    <row r="17" spans="6:22" x14ac:dyDescent="0.35">
      <c r="F17" s="18"/>
      <c r="P17" s="18"/>
      <c r="Q17">
        <v>-2.8582677165357198</v>
      </c>
      <c r="R17">
        <v>4.2468285214352398E-2</v>
      </c>
      <c r="S17">
        <v>-1.5037182852144945E-4</v>
      </c>
      <c r="U17" s="9" t="s">
        <v>149</v>
      </c>
      <c r="V17" s="9">
        <v>-6.2902755905519996</v>
      </c>
    </row>
    <row r="18" spans="6:22" x14ac:dyDescent="0.35">
      <c r="F18" s="18"/>
      <c r="P18" s="18"/>
      <c r="Q18">
        <v>1.0052493438321219E-2</v>
      </c>
      <c r="R18">
        <v>-1.5037182852144958E-4</v>
      </c>
      <c r="S18">
        <v>5.3587051618552829E-7</v>
      </c>
      <c r="U18" s="9" t="s">
        <v>150</v>
      </c>
      <c r="V18" s="9">
        <v>1.927952755905793E-2</v>
      </c>
    </row>
    <row r="19" spans="6:22" x14ac:dyDescent="0.35">
      <c r="F19" s="18"/>
      <c r="G19">
        <f>G12</f>
        <v>5</v>
      </c>
      <c r="H19">
        <f>H12</f>
        <v>10.5</v>
      </c>
      <c r="I19">
        <f>J12</f>
        <v>10200</v>
      </c>
      <c r="K19" s="19" t="s">
        <v>15</v>
      </c>
      <c r="L19" s="19">
        <f>-G20/G19</f>
        <v>-2.1</v>
      </c>
      <c r="N19" t="s">
        <v>32</v>
      </c>
      <c r="O19" t="s">
        <v>151</v>
      </c>
      <c r="P19" s="18"/>
    </row>
    <row r="20" spans="6:22" x14ac:dyDescent="0.35">
      <c r="F20" s="18"/>
      <c r="G20">
        <f>G13</f>
        <v>10.5</v>
      </c>
      <c r="H20">
        <f>H13</f>
        <v>30.25</v>
      </c>
      <c r="I20">
        <f>J13</f>
        <v>19050</v>
      </c>
      <c r="N20" s="9" t="s">
        <v>152</v>
      </c>
      <c r="O20" s="9">
        <f>2646.951-289.024*8</f>
        <v>334.75900000000001</v>
      </c>
      <c r="P20" s="18"/>
    </row>
    <row r="21" spans="6:22" x14ac:dyDescent="0.35">
      <c r="F21" s="18"/>
      <c r="P21" s="18"/>
    </row>
    <row r="22" spans="6:22" x14ac:dyDescent="0.35">
      <c r="F22" s="18"/>
      <c r="G22">
        <f>G19</f>
        <v>5</v>
      </c>
      <c r="H22">
        <f t="shared" ref="H22:I22" si="13">H19</f>
        <v>10.5</v>
      </c>
      <c r="I22">
        <f t="shared" si="13"/>
        <v>10200</v>
      </c>
      <c r="K22" s="19" t="s">
        <v>149</v>
      </c>
      <c r="L22" s="19">
        <f>I23/H23</f>
        <v>-289.02439024390247</v>
      </c>
      <c r="P22" s="18"/>
    </row>
    <row r="23" spans="6:22" x14ac:dyDescent="0.35">
      <c r="F23" s="18"/>
      <c r="G23">
        <f>G19*$L$19+G20</f>
        <v>0</v>
      </c>
      <c r="H23">
        <f t="shared" ref="H23:I23" si="14">H19*$L$19+H20</f>
        <v>8.1999999999999993</v>
      </c>
      <c r="I23">
        <f t="shared" si="14"/>
        <v>-2370</v>
      </c>
      <c r="K23" s="19" t="s">
        <v>147</v>
      </c>
      <c r="L23" s="19">
        <f>(I22-H22*L22)/G22</f>
        <v>2646.9512195121952</v>
      </c>
      <c r="P23" s="18"/>
    </row>
    <row r="24" spans="6:22" x14ac:dyDescent="0.35">
      <c r="F24" s="18"/>
      <c r="P24" s="18"/>
    </row>
    <row r="25" spans="6:22" x14ac:dyDescent="0.35">
      <c r="F25" s="18"/>
      <c r="P25" s="18"/>
    </row>
    <row r="26" spans="6:22" x14ac:dyDescent="0.35">
      <c r="F26" s="18"/>
      <c r="P26" s="18"/>
    </row>
    <row r="27" spans="6:22" x14ac:dyDescent="0.35">
      <c r="F27" s="18"/>
      <c r="P27" s="18"/>
    </row>
    <row r="28" spans="6:22" x14ac:dyDescent="0.35">
      <c r="F28" s="18"/>
      <c r="P28" s="18"/>
    </row>
    <row r="29" spans="6:22" x14ac:dyDescent="0.35">
      <c r="F29" s="18"/>
      <c r="P29" s="18"/>
    </row>
    <row r="30" spans="6:22" x14ac:dyDescent="0.35">
      <c r="F30" s="18"/>
      <c r="P30" s="18"/>
    </row>
    <row r="31" spans="6:22" x14ac:dyDescent="0.35">
      <c r="F31" s="18"/>
      <c r="P31" s="18"/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d41f5db-efe2-4ff1-9e50-79bf4b446ad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F235E78E36B1A48B50A1524E27BCE34" ma:contentTypeVersion="11" ma:contentTypeDescription="Crie um novo documento." ma:contentTypeScope="" ma:versionID="926377c8941f96f57e2da734969740b3">
  <xsd:schema xmlns:xsd="http://www.w3.org/2001/XMLSchema" xmlns:xs="http://www.w3.org/2001/XMLSchema" xmlns:p="http://schemas.microsoft.com/office/2006/metadata/properties" xmlns:ns3="cd41f5db-efe2-4ff1-9e50-79bf4b446ad8" targetNamespace="http://schemas.microsoft.com/office/2006/metadata/properties" ma:root="true" ma:fieldsID="5e75c203a2470d21787de6e3f1fad4d4" ns3:_="">
    <xsd:import namespace="cd41f5db-efe2-4ff1-9e50-79bf4b446ad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41f5db-efe2-4ff1-9e50-79bf4b446ad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5EF6FF-AA1D-46AF-B51B-5B2EDF972E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E35FE41-6436-412F-A946-0B5577AE1A50}">
  <ds:schemaRefs>
    <ds:schemaRef ds:uri="http://schemas.microsoft.com/office/2006/metadata/properties"/>
    <ds:schemaRef ds:uri="http://schemas.microsoft.com/office/infopath/2007/PartnerControls"/>
    <ds:schemaRef ds:uri="cd41f5db-efe2-4ff1-9e50-79bf4b446ad8"/>
  </ds:schemaRefs>
</ds:datastoreItem>
</file>

<file path=customXml/itemProps3.xml><?xml version="1.0" encoding="utf-8"?>
<ds:datastoreItem xmlns:ds="http://schemas.openxmlformats.org/officeDocument/2006/customXml" ds:itemID="{4C921326-7378-40CF-86CF-C63927491D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41f5db-efe2-4ff1-9e50-79bf4b446a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Aplicação de Eq. diferencial</vt:lpstr>
      <vt:lpstr>interpolação linear</vt:lpstr>
      <vt:lpstr>Interpolação quadrática</vt:lpstr>
      <vt:lpstr>Matriz Met. Gauss</vt:lpstr>
      <vt:lpstr>EDDP Parabólica</vt:lpstr>
      <vt:lpstr>EDO - Runge-Kutta</vt:lpstr>
      <vt:lpstr>EDO Ordem Superior</vt:lpstr>
      <vt:lpstr>EDO - Euler</vt:lpstr>
      <vt:lpstr>Método de Gauss</vt:lpstr>
      <vt:lpstr>Aproximação de funções</vt:lpstr>
      <vt:lpstr>ajuste de curva - aproximação</vt:lpstr>
    </vt:vector>
  </TitlesOfParts>
  <Manager/>
  <Company>INSTITUTO MAUA DE TECNOLOGIA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CAROLINA ROSA</dc:creator>
  <cp:keywords/>
  <dc:description/>
  <cp:lastModifiedBy>Carolina Rosa</cp:lastModifiedBy>
  <cp:revision/>
  <dcterms:created xsi:type="dcterms:W3CDTF">2025-09-30T15:22:25Z</dcterms:created>
  <dcterms:modified xsi:type="dcterms:W3CDTF">2025-12-05T23:15:52Z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0x0101003F235E78E36B1A48B50A1524E27BCE34</vt:lpwstr>
  </property>
</Properties>
</file>